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7500" activeTab="2"/>
  </bookViews>
  <sheets>
    <sheet name="Form Responses 1" sheetId="1" r:id="rId1"/>
    <sheet name="MASTER SKHP 2026" sheetId="2" r:id="rId2"/>
    <sheet name="Analisis" sheetId="5" r:id="rId3"/>
    <sheet name="NVScriptsProperties" sheetId="3" state="hidden" r:id="rId4"/>
    <sheet name="DO NOT DELETE - AutoCrat Job Se" sheetId="4" state="hidden" r:id="rId5"/>
  </sheets>
  <definedNames>
    <definedName name="_xlnm._FilterDatabase" localSheetId="0" hidden="1">'Form Responses 1'!$A$1:$K$363</definedName>
    <definedName name="_xlnm._FilterDatabase" localSheetId="1" hidden="1">'MASTER SKHP 2026'!$A$1:$AA$210</definedName>
  </definedNames>
  <calcPr calcId="162913"/>
</workbook>
</file>

<file path=xl/calcChain.xml><?xml version="1.0" encoding="utf-8"?>
<calcChain xmlns="http://schemas.openxmlformats.org/spreadsheetml/2006/main">
  <c r="J350" i="2" l="1"/>
  <c r="I350" i="2"/>
  <c r="H350" i="2"/>
  <c r="G350" i="2"/>
  <c r="F350" i="2"/>
  <c r="E350" i="2"/>
  <c r="J349" i="2"/>
  <c r="I349" i="2"/>
  <c r="H349" i="2"/>
  <c r="G349" i="2"/>
  <c r="F349" i="2"/>
  <c r="E349" i="2"/>
  <c r="J348" i="2"/>
  <c r="I348" i="2"/>
  <c r="H348" i="2"/>
  <c r="G348" i="2"/>
  <c r="F348" i="2"/>
  <c r="E348" i="2"/>
  <c r="J347" i="2"/>
  <c r="I347" i="2"/>
  <c r="H347" i="2"/>
  <c r="G347" i="2"/>
  <c r="F347" i="2"/>
  <c r="E347" i="2"/>
  <c r="J346" i="2"/>
  <c r="I346" i="2"/>
  <c r="H346" i="2"/>
  <c r="G346" i="2"/>
  <c r="F346" i="2"/>
  <c r="E346" i="2"/>
  <c r="J345" i="2"/>
  <c r="I345" i="2"/>
  <c r="H345" i="2"/>
  <c r="G345" i="2"/>
  <c r="F345" i="2"/>
  <c r="E345" i="2"/>
  <c r="J344" i="2"/>
  <c r="I344" i="2"/>
  <c r="H344" i="2"/>
  <c r="G344" i="2"/>
  <c r="F344" i="2"/>
  <c r="E344" i="2"/>
  <c r="J343" i="2"/>
  <c r="I343" i="2"/>
  <c r="H343" i="2"/>
  <c r="G343" i="2"/>
  <c r="F343" i="2"/>
  <c r="E343" i="2"/>
  <c r="J342" i="2"/>
  <c r="I342" i="2"/>
  <c r="H342" i="2"/>
  <c r="G342" i="2"/>
  <c r="F342" i="2"/>
  <c r="E342" i="2"/>
  <c r="J341" i="2"/>
  <c r="I341" i="2"/>
  <c r="H341" i="2"/>
  <c r="G341" i="2"/>
  <c r="F341" i="2"/>
  <c r="E341" i="2"/>
  <c r="J340" i="2"/>
  <c r="I340" i="2"/>
  <c r="H340" i="2"/>
  <c r="G340" i="2"/>
  <c r="F340" i="2"/>
  <c r="E340" i="2"/>
  <c r="J339" i="2"/>
  <c r="I339" i="2"/>
  <c r="H339" i="2"/>
  <c r="G339" i="2"/>
  <c r="F339" i="2"/>
  <c r="E339" i="2"/>
  <c r="J338" i="2"/>
  <c r="I338" i="2"/>
  <c r="H338" i="2"/>
  <c r="G338" i="2"/>
  <c r="F338" i="2"/>
  <c r="E338" i="2"/>
  <c r="J337" i="2"/>
  <c r="I337" i="2"/>
  <c r="H337" i="2"/>
  <c r="G337" i="2"/>
  <c r="F337" i="2"/>
  <c r="E337" i="2"/>
  <c r="J336" i="2"/>
  <c r="I336" i="2"/>
  <c r="H336" i="2"/>
  <c r="G336" i="2"/>
  <c r="F336" i="2"/>
  <c r="E336" i="2"/>
  <c r="J335" i="2"/>
  <c r="I335" i="2"/>
  <c r="H335" i="2"/>
  <c r="G335" i="2"/>
  <c r="F335" i="2"/>
  <c r="E335" i="2"/>
  <c r="J334" i="2"/>
  <c r="I334" i="2"/>
  <c r="H334" i="2"/>
  <c r="G334" i="2"/>
  <c r="F334" i="2"/>
  <c r="E334" i="2"/>
  <c r="J333" i="2"/>
  <c r="I333" i="2"/>
  <c r="H333" i="2"/>
  <c r="G333" i="2"/>
  <c r="F333" i="2"/>
  <c r="E333" i="2"/>
  <c r="J332" i="2"/>
  <c r="I332" i="2"/>
  <c r="H332" i="2"/>
  <c r="G332" i="2"/>
  <c r="F332" i="2"/>
  <c r="E332" i="2"/>
  <c r="J331" i="2"/>
  <c r="I331" i="2"/>
  <c r="H331" i="2"/>
  <c r="G331" i="2"/>
  <c r="F331" i="2"/>
  <c r="E331" i="2"/>
  <c r="J330" i="2"/>
  <c r="I330" i="2"/>
  <c r="H330" i="2"/>
  <c r="G330" i="2"/>
  <c r="F330" i="2"/>
  <c r="E330" i="2"/>
  <c r="J329" i="2"/>
  <c r="I329" i="2"/>
  <c r="H329" i="2"/>
  <c r="G329" i="2"/>
  <c r="F329" i="2"/>
  <c r="E329" i="2"/>
  <c r="J328" i="2"/>
  <c r="I328" i="2"/>
  <c r="H328" i="2"/>
  <c r="G328" i="2"/>
  <c r="F328" i="2"/>
  <c r="E328" i="2"/>
  <c r="J327" i="2"/>
  <c r="I327" i="2"/>
  <c r="H327" i="2"/>
  <c r="G327" i="2"/>
  <c r="F327" i="2"/>
  <c r="E327" i="2"/>
  <c r="J326" i="2"/>
  <c r="I326" i="2"/>
  <c r="H326" i="2"/>
  <c r="G326" i="2"/>
  <c r="F326" i="2"/>
  <c r="E326" i="2"/>
  <c r="J325" i="2"/>
  <c r="I325" i="2"/>
  <c r="H325" i="2"/>
  <c r="G325" i="2"/>
  <c r="F325" i="2"/>
  <c r="E325" i="2"/>
  <c r="J324" i="2"/>
  <c r="I324" i="2"/>
  <c r="H324" i="2"/>
  <c r="G324" i="2"/>
  <c r="F324" i="2"/>
  <c r="E324" i="2"/>
  <c r="J323" i="2"/>
  <c r="I323" i="2"/>
  <c r="H323" i="2"/>
  <c r="G323" i="2"/>
  <c r="F323" i="2"/>
  <c r="E323" i="2"/>
  <c r="J322" i="2"/>
  <c r="I322" i="2"/>
  <c r="H322" i="2"/>
  <c r="G322" i="2"/>
  <c r="F322" i="2"/>
  <c r="E322" i="2"/>
  <c r="J321" i="2"/>
  <c r="I321" i="2"/>
  <c r="H321" i="2"/>
  <c r="G321" i="2"/>
  <c r="F321" i="2"/>
  <c r="E321" i="2"/>
  <c r="J320" i="2"/>
  <c r="I320" i="2"/>
  <c r="H320" i="2"/>
  <c r="G320" i="2"/>
  <c r="F320" i="2"/>
  <c r="E320" i="2"/>
  <c r="J319" i="2"/>
  <c r="I319" i="2"/>
  <c r="H319" i="2"/>
  <c r="G319" i="2"/>
  <c r="F319" i="2"/>
  <c r="E319" i="2"/>
  <c r="J318" i="2"/>
  <c r="I318" i="2"/>
  <c r="H318" i="2"/>
  <c r="G318" i="2"/>
  <c r="F318" i="2"/>
  <c r="E318" i="2"/>
  <c r="J317" i="2"/>
  <c r="I317" i="2"/>
  <c r="H317" i="2"/>
  <c r="G317" i="2"/>
  <c r="F317" i="2"/>
  <c r="E317" i="2"/>
  <c r="J316" i="2"/>
  <c r="I316" i="2"/>
  <c r="H316" i="2"/>
  <c r="G316" i="2"/>
  <c r="F316" i="2"/>
  <c r="E316" i="2"/>
  <c r="J315" i="2"/>
  <c r="I315" i="2"/>
  <c r="H315" i="2"/>
  <c r="G315" i="2"/>
  <c r="F315" i="2"/>
  <c r="E315" i="2"/>
  <c r="J314" i="2"/>
  <c r="I314" i="2"/>
  <c r="H314" i="2"/>
  <c r="G314" i="2"/>
  <c r="F314" i="2"/>
  <c r="E314" i="2"/>
  <c r="J313" i="2"/>
  <c r="I313" i="2"/>
  <c r="H313" i="2"/>
  <c r="G313" i="2"/>
  <c r="F313" i="2"/>
  <c r="E313" i="2"/>
  <c r="J312" i="2"/>
  <c r="I312" i="2"/>
  <c r="H312" i="2"/>
  <c r="G312" i="2"/>
  <c r="F312" i="2"/>
  <c r="E312" i="2"/>
  <c r="J311" i="2"/>
  <c r="I311" i="2"/>
  <c r="H311" i="2"/>
  <c r="G311" i="2"/>
  <c r="F311" i="2"/>
  <c r="E311" i="2"/>
  <c r="J310" i="2"/>
  <c r="I310" i="2"/>
  <c r="H310" i="2"/>
  <c r="G310" i="2"/>
  <c r="F310" i="2"/>
  <c r="E310" i="2"/>
  <c r="J309" i="2"/>
  <c r="I309" i="2"/>
  <c r="H309" i="2"/>
  <c r="G309" i="2"/>
  <c r="F309" i="2"/>
  <c r="E309" i="2"/>
  <c r="J308" i="2"/>
  <c r="I308" i="2"/>
  <c r="H308" i="2"/>
  <c r="G308" i="2"/>
  <c r="F308" i="2"/>
  <c r="E308" i="2"/>
  <c r="J307" i="2"/>
  <c r="I307" i="2"/>
  <c r="H307" i="2"/>
  <c r="G307" i="2"/>
  <c r="F307" i="2"/>
  <c r="E307" i="2"/>
  <c r="J306" i="2"/>
  <c r="I306" i="2"/>
  <c r="H306" i="2"/>
  <c r="G306" i="2"/>
  <c r="F306" i="2"/>
  <c r="E306" i="2"/>
  <c r="J305" i="2"/>
  <c r="I305" i="2"/>
  <c r="H305" i="2"/>
  <c r="G305" i="2"/>
  <c r="F305" i="2"/>
  <c r="E305" i="2"/>
  <c r="J304" i="2"/>
  <c r="I304" i="2"/>
  <c r="H304" i="2"/>
  <c r="G304" i="2"/>
  <c r="F304" i="2"/>
  <c r="E304" i="2"/>
  <c r="J303" i="2"/>
  <c r="I303" i="2"/>
  <c r="H303" i="2"/>
  <c r="G303" i="2"/>
  <c r="F303" i="2"/>
  <c r="E303" i="2"/>
  <c r="J302" i="2"/>
  <c r="I302" i="2"/>
  <c r="H302" i="2"/>
  <c r="G302" i="2"/>
  <c r="F302" i="2"/>
  <c r="E302" i="2"/>
  <c r="J301" i="2"/>
  <c r="I301" i="2"/>
  <c r="H301" i="2"/>
  <c r="G301" i="2"/>
  <c r="F301" i="2"/>
  <c r="E301" i="2"/>
  <c r="J300" i="2"/>
  <c r="I300" i="2"/>
  <c r="H300" i="2"/>
  <c r="G300" i="2"/>
  <c r="F300" i="2"/>
  <c r="E300" i="2"/>
  <c r="J299" i="2"/>
  <c r="I299" i="2"/>
  <c r="H299" i="2"/>
  <c r="G299" i="2"/>
  <c r="F299" i="2"/>
  <c r="E299" i="2"/>
  <c r="J298" i="2"/>
  <c r="I298" i="2"/>
  <c r="H298" i="2"/>
  <c r="G298" i="2"/>
  <c r="F298" i="2"/>
  <c r="E298" i="2"/>
  <c r="J297" i="2"/>
  <c r="I297" i="2"/>
  <c r="H297" i="2"/>
  <c r="G297" i="2"/>
  <c r="F297" i="2"/>
  <c r="E297" i="2"/>
  <c r="J296" i="2"/>
  <c r="I296" i="2"/>
  <c r="H296" i="2"/>
  <c r="G296" i="2"/>
  <c r="F296" i="2"/>
  <c r="E296" i="2"/>
  <c r="J295" i="2"/>
  <c r="I295" i="2"/>
  <c r="H295" i="2"/>
  <c r="G295" i="2"/>
  <c r="F295" i="2"/>
  <c r="E295" i="2"/>
  <c r="J294" i="2"/>
  <c r="I294" i="2"/>
  <c r="H294" i="2"/>
  <c r="G294" i="2"/>
  <c r="F294" i="2"/>
  <c r="E294" i="2"/>
  <c r="J293" i="2"/>
  <c r="I293" i="2"/>
  <c r="H293" i="2"/>
  <c r="G293" i="2"/>
  <c r="F293" i="2"/>
  <c r="E293" i="2"/>
  <c r="J292" i="2"/>
  <c r="I292" i="2"/>
  <c r="H292" i="2"/>
  <c r="G292" i="2"/>
  <c r="F292" i="2"/>
  <c r="E292" i="2"/>
  <c r="J291" i="2"/>
  <c r="I291" i="2"/>
  <c r="H291" i="2"/>
  <c r="G291" i="2"/>
  <c r="F291" i="2"/>
  <c r="E291" i="2"/>
  <c r="J290" i="2"/>
  <c r="I290" i="2"/>
  <c r="H290" i="2"/>
  <c r="G290" i="2"/>
  <c r="F290" i="2"/>
  <c r="E290" i="2"/>
  <c r="J289" i="2"/>
  <c r="I289" i="2"/>
  <c r="H289" i="2"/>
  <c r="G289" i="2"/>
  <c r="F289" i="2"/>
  <c r="E289" i="2"/>
  <c r="J288" i="2"/>
  <c r="I288" i="2"/>
  <c r="H288" i="2"/>
  <c r="G288" i="2"/>
  <c r="F288" i="2"/>
  <c r="E288" i="2"/>
  <c r="J287" i="2"/>
  <c r="I287" i="2"/>
  <c r="H287" i="2"/>
  <c r="G287" i="2"/>
  <c r="F287" i="2"/>
  <c r="E287" i="2"/>
  <c r="J286" i="2"/>
  <c r="I286" i="2"/>
  <c r="H286" i="2"/>
  <c r="G286" i="2"/>
  <c r="F286" i="2"/>
  <c r="E286" i="2"/>
  <c r="J285" i="2"/>
  <c r="I285" i="2"/>
  <c r="H285" i="2"/>
  <c r="G285" i="2"/>
  <c r="F285" i="2"/>
  <c r="E285" i="2"/>
  <c r="J284" i="2"/>
  <c r="I284" i="2"/>
  <c r="H284" i="2"/>
  <c r="G284" i="2"/>
  <c r="F284" i="2"/>
  <c r="E284" i="2"/>
  <c r="J283" i="2"/>
  <c r="I283" i="2"/>
  <c r="H283" i="2"/>
  <c r="G283" i="2"/>
  <c r="F283" i="2"/>
  <c r="E283" i="2"/>
  <c r="J282" i="2"/>
  <c r="I282" i="2"/>
  <c r="H282" i="2"/>
  <c r="G282" i="2"/>
  <c r="F282" i="2"/>
  <c r="E282" i="2"/>
  <c r="J281" i="2"/>
  <c r="I281" i="2"/>
  <c r="H281" i="2"/>
  <c r="G281" i="2"/>
  <c r="F281" i="2"/>
  <c r="E281" i="2"/>
  <c r="J280" i="2"/>
  <c r="I280" i="2"/>
  <c r="H280" i="2"/>
  <c r="G280" i="2"/>
  <c r="F280" i="2"/>
  <c r="E280" i="2"/>
  <c r="J279" i="2"/>
  <c r="I279" i="2"/>
  <c r="H279" i="2"/>
  <c r="G279" i="2"/>
  <c r="F279" i="2"/>
  <c r="E279" i="2"/>
  <c r="J278" i="2"/>
  <c r="I278" i="2"/>
  <c r="H278" i="2"/>
  <c r="G278" i="2"/>
  <c r="F278" i="2"/>
  <c r="E278" i="2"/>
  <c r="J277" i="2"/>
  <c r="I277" i="2"/>
  <c r="H277" i="2"/>
  <c r="G277" i="2"/>
  <c r="F277" i="2"/>
  <c r="E277" i="2"/>
  <c r="J276" i="2"/>
  <c r="I276" i="2"/>
  <c r="H276" i="2"/>
  <c r="G276" i="2"/>
  <c r="F276" i="2"/>
  <c r="E276" i="2"/>
  <c r="J275" i="2"/>
  <c r="I275" i="2"/>
  <c r="H275" i="2"/>
  <c r="G275" i="2"/>
  <c r="F275" i="2"/>
  <c r="E275" i="2"/>
  <c r="J274" i="2"/>
  <c r="I274" i="2"/>
  <c r="H274" i="2"/>
  <c r="G274" i="2"/>
  <c r="F274" i="2"/>
  <c r="E274" i="2"/>
  <c r="J273" i="2"/>
  <c r="I273" i="2"/>
  <c r="H273" i="2"/>
  <c r="G273" i="2"/>
  <c r="F273" i="2"/>
  <c r="E273" i="2"/>
  <c r="J272" i="2"/>
  <c r="I272" i="2"/>
  <c r="H272" i="2"/>
  <c r="G272" i="2"/>
  <c r="F272" i="2"/>
  <c r="E272" i="2"/>
  <c r="J271" i="2"/>
  <c r="I271" i="2"/>
  <c r="H271" i="2"/>
  <c r="G271" i="2"/>
  <c r="F271" i="2"/>
  <c r="E271" i="2"/>
  <c r="J270" i="2"/>
  <c r="I270" i="2"/>
  <c r="H270" i="2"/>
  <c r="G270" i="2"/>
  <c r="F270" i="2"/>
  <c r="E270" i="2"/>
  <c r="J269" i="2"/>
  <c r="I269" i="2"/>
  <c r="H269" i="2"/>
  <c r="G269" i="2"/>
  <c r="F269" i="2"/>
  <c r="E269" i="2"/>
  <c r="J268" i="2"/>
  <c r="I268" i="2"/>
  <c r="H268" i="2"/>
  <c r="G268" i="2"/>
  <c r="F268" i="2"/>
  <c r="E268" i="2"/>
  <c r="J267" i="2"/>
  <c r="I267" i="2"/>
  <c r="H267" i="2"/>
  <c r="G267" i="2"/>
  <c r="F267" i="2"/>
  <c r="E267" i="2"/>
  <c r="J266" i="2"/>
  <c r="I266" i="2"/>
  <c r="H266" i="2"/>
  <c r="G266" i="2"/>
  <c r="F266" i="2"/>
  <c r="E266" i="2"/>
  <c r="J265" i="2"/>
  <c r="I265" i="2"/>
  <c r="H265" i="2"/>
  <c r="G265" i="2"/>
  <c r="F265" i="2"/>
  <c r="E265" i="2"/>
  <c r="J264" i="2"/>
  <c r="I264" i="2"/>
  <c r="H264" i="2"/>
  <c r="G264" i="2"/>
  <c r="F264" i="2"/>
  <c r="E264" i="2"/>
  <c r="J263" i="2"/>
  <c r="I263" i="2"/>
  <c r="H263" i="2"/>
  <c r="G263" i="2"/>
  <c r="F263" i="2"/>
  <c r="E263" i="2"/>
  <c r="J262" i="2"/>
  <c r="I262" i="2"/>
  <c r="H262" i="2"/>
  <c r="G262" i="2"/>
  <c r="F262" i="2"/>
  <c r="E262" i="2"/>
  <c r="J261" i="2"/>
  <c r="I261" i="2"/>
  <c r="H261" i="2"/>
  <c r="G261" i="2"/>
  <c r="F261" i="2"/>
  <c r="E261" i="2"/>
  <c r="J260" i="2"/>
  <c r="I260" i="2"/>
  <c r="H260" i="2"/>
  <c r="G260" i="2"/>
  <c r="F260" i="2"/>
  <c r="E260" i="2"/>
  <c r="J259" i="2"/>
  <c r="I259" i="2"/>
  <c r="H259" i="2"/>
  <c r="G259" i="2"/>
  <c r="F259" i="2"/>
  <c r="E259" i="2"/>
  <c r="J258" i="2"/>
  <c r="I258" i="2"/>
  <c r="H258" i="2"/>
  <c r="G258" i="2"/>
  <c r="F258" i="2"/>
  <c r="E258" i="2"/>
  <c r="J257" i="2"/>
  <c r="I257" i="2"/>
  <c r="H257" i="2"/>
  <c r="G257" i="2"/>
  <c r="F257" i="2"/>
  <c r="E257" i="2"/>
  <c r="J256" i="2"/>
  <c r="I256" i="2"/>
  <c r="H256" i="2"/>
  <c r="G256" i="2"/>
  <c r="F256" i="2"/>
  <c r="E256" i="2"/>
  <c r="J255" i="2"/>
  <c r="I255" i="2"/>
  <c r="H255" i="2"/>
  <c r="G255" i="2"/>
  <c r="F255" i="2"/>
  <c r="E255" i="2"/>
  <c r="J254" i="2"/>
  <c r="I254" i="2"/>
  <c r="H254" i="2"/>
  <c r="G254" i="2"/>
  <c r="F254" i="2"/>
  <c r="E254" i="2"/>
  <c r="J253" i="2"/>
  <c r="I253" i="2"/>
  <c r="H253" i="2"/>
  <c r="G253" i="2"/>
  <c r="F253" i="2"/>
  <c r="E253" i="2"/>
  <c r="J252" i="2"/>
  <c r="I252" i="2"/>
  <c r="H252" i="2"/>
  <c r="G252" i="2"/>
  <c r="F252" i="2"/>
  <c r="E252" i="2"/>
  <c r="J251" i="2"/>
  <c r="I251" i="2"/>
  <c r="H251" i="2"/>
  <c r="G251" i="2"/>
  <c r="F251" i="2"/>
  <c r="E251" i="2"/>
  <c r="J250" i="2"/>
  <c r="I250" i="2"/>
  <c r="H250" i="2"/>
  <c r="G250" i="2"/>
  <c r="F250" i="2"/>
  <c r="E250" i="2"/>
  <c r="J249" i="2"/>
  <c r="I249" i="2"/>
  <c r="H249" i="2"/>
  <c r="G249" i="2"/>
  <c r="F249" i="2"/>
  <c r="E249" i="2"/>
  <c r="J248" i="2"/>
  <c r="I248" i="2"/>
  <c r="H248" i="2"/>
  <c r="G248" i="2"/>
  <c r="F248" i="2"/>
  <c r="E248" i="2"/>
  <c r="J247" i="2"/>
  <c r="I247" i="2"/>
  <c r="H247" i="2"/>
  <c r="G247" i="2"/>
  <c r="F247" i="2"/>
  <c r="E247" i="2"/>
  <c r="J246" i="2"/>
  <c r="I246" i="2"/>
  <c r="H246" i="2"/>
  <c r="G246" i="2"/>
  <c r="F246" i="2"/>
  <c r="E246" i="2"/>
  <c r="J245" i="2"/>
  <c r="I245" i="2"/>
  <c r="H245" i="2"/>
  <c r="G245" i="2"/>
  <c r="F245" i="2"/>
  <c r="E245" i="2"/>
  <c r="J244" i="2"/>
  <c r="I244" i="2"/>
  <c r="H244" i="2"/>
  <c r="G244" i="2"/>
  <c r="F244" i="2"/>
  <c r="E244" i="2"/>
  <c r="J243" i="2"/>
  <c r="I243" i="2"/>
  <c r="H243" i="2"/>
  <c r="G243" i="2"/>
  <c r="F243" i="2"/>
  <c r="E243" i="2"/>
  <c r="J242" i="2"/>
  <c r="I242" i="2"/>
  <c r="H242" i="2"/>
  <c r="G242" i="2"/>
  <c r="F242" i="2"/>
  <c r="E242" i="2"/>
  <c r="J241" i="2"/>
  <c r="I241" i="2"/>
  <c r="H241" i="2"/>
  <c r="G241" i="2"/>
  <c r="F241" i="2"/>
  <c r="E241" i="2"/>
  <c r="J240" i="2"/>
  <c r="I240" i="2"/>
  <c r="H240" i="2"/>
  <c r="G240" i="2"/>
  <c r="F240" i="2"/>
  <c r="E240" i="2"/>
  <c r="J239" i="2"/>
  <c r="I239" i="2"/>
  <c r="H239" i="2"/>
  <c r="G239" i="2"/>
  <c r="F239" i="2"/>
  <c r="E239" i="2"/>
  <c r="J238" i="2"/>
  <c r="I238" i="2"/>
  <c r="H238" i="2"/>
  <c r="G238" i="2"/>
  <c r="F238" i="2"/>
  <c r="E238" i="2"/>
  <c r="J237" i="2"/>
  <c r="I237" i="2"/>
  <c r="H237" i="2"/>
  <c r="G237" i="2"/>
  <c r="F237" i="2"/>
  <c r="E237" i="2"/>
  <c r="J236" i="2"/>
  <c r="I236" i="2"/>
  <c r="H236" i="2"/>
  <c r="G236" i="2"/>
  <c r="F236" i="2"/>
  <c r="E236" i="2"/>
  <c r="J235" i="2"/>
  <c r="I235" i="2"/>
  <c r="H235" i="2"/>
  <c r="G235" i="2"/>
  <c r="F235" i="2"/>
  <c r="E235" i="2"/>
  <c r="J234" i="2"/>
  <c r="I234" i="2"/>
  <c r="H234" i="2"/>
  <c r="G234" i="2"/>
  <c r="F234" i="2"/>
  <c r="E234" i="2"/>
  <c r="J233" i="2"/>
  <c r="I233" i="2"/>
  <c r="H233" i="2"/>
  <c r="G233" i="2"/>
  <c r="F233" i="2"/>
  <c r="E233" i="2"/>
  <c r="J232" i="2"/>
  <c r="I232" i="2"/>
  <c r="H232" i="2"/>
  <c r="G232" i="2"/>
  <c r="F232" i="2"/>
  <c r="E232" i="2"/>
  <c r="J231" i="2"/>
  <c r="I231" i="2"/>
  <c r="H231" i="2"/>
  <c r="G231" i="2"/>
  <c r="F231" i="2"/>
  <c r="E231" i="2"/>
  <c r="J230" i="2"/>
  <c r="I230" i="2"/>
  <c r="H230" i="2"/>
  <c r="G230" i="2"/>
  <c r="F230" i="2"/>
  <c r="E230" i="2"/>
  <c r="J229" i="2"/>
  <c r="I229" i="2"/>
  <c r="H229" i="2"/>
  <c r="G229" i="2"/>
  <c r="F229" i="2"/>
  <c r="E229" i="2"/>
  <c r="J228" i="2"/>
  <c r="I228" i="2"/>
  <c r="H228" i="2"/>
  <c r="G228" i="2"/>
  <c r="F228" i="2"/>
  <c r="E228" i="2"/>
  <c r="J227" i="2"/>
  <c r="I227" i="2"/>
  <c r="H227" i="2"/>
  <c r="G227" i="2"/>
  <c r="F227" i="2"/>
  <c r="E227" i="2"/>
  <c r="J226" i="2"/>
  <c r="I226" i="2"/>
  <c r="H226" i="2"/>
  <c r="G226" i="2"/>
  <c r="F226" i="2"/>
  <c r="E226" i="2"/>
  <c r="J225" i="2"/>
  <c r="I225" i="2"/>
  <c r="H225" i="2"/>
  <c r="G225" i="2"/>
  <c r="F225" i="2"/>
  <c r="E225" i="2"/>
  <c r="J224" i="2"/>
  <c r="I224" i="2"/>
  <c r="H224" i="2"/>
  <c r="G224" i="2"/>
  <c r="F224" i="2"/>
  <c r="E224" i="2"/>
  <c r="J223" i="2"/>
  <c r="I223" i="2"/>
  <c r="H223" i="2"/>
  <c r="G223" i="2"/>
  <c r="F223" i="2"/>
  <c r="E223" i="2"/>
  <c r="J222" i="2"/>
  <c r="I222" i="2"/>
  <c r="H222" i="2"/>
  <c r="G222" i="2"/>
  <c r="F222" i="2"/>
  <c r="E222" i="2"/>
  <c r="J221" i="2"/>
  <c r="I221" i="2"/>
  <c r="H221" i="2"/>
  <c r="G221" i="2"/>
  <c r="F221" i="2"/>
  <c r="E221" i="2"/>
  <c r="J220" i="2"/>
  <c r="I220" i="2"/>
  <c r="H220" i="2"/>
  <c r="G220" i="2"/>
  <c r="F220" i="2"/>
  <c r="E220" i="2"/>
  <c r="J219" i="2"/>
  <c r="I219" i="2"/>
  <c r="H219" i="2"/>
  <c r="G219" i="2"/>
  <c r="F219" i="2"/>
  <c r="E219" i="2"/>
  <c r="J218" i="2"/>
  <c r="I218" i="2"/>
  <c r="H218" i="2"/>
  <c r="G218" i="2"/>
  <c r="F218" i="2"/>
  <c r="E218" i="2"/>
  <c r="J217" i="2"/>
  <c r="I217" i="2"/>
  <c r="H217" i="2"/>
  <c r="G217" i="2"/>
  <c r="F217" i="2"/>
  <c r="E217" i="2"/>
  <c r="J216" i="2"/>
  <c r="I216" i="2"/>
  <c r="H216" i="2"/>
  <c r="G216" i="2"/>
  <c r="F216" i="2"/>
  <c r="E216" i="2"/>
  <c r="J215" i="2"/>
  <c r="I215" i="2"/>
  <c r="H215" i="2"/>
  <c r="G215" i="2"/>
  <c r="F215" i="2"/>
  <c r="E215" i="2"/>
  <c r="J214" i="2"/>
  <c r="I214" i="2"/>
  <c r="H214" i="2"/>
  <c r="G214" i="2"/>
  <c r="F214" i="2"/>
  <c r="E214" i="2"/>
  <c r="J213" i="2"/>
  <c r="I213" i="2"/>
  <c r="H213" i="2"/>
  <c r="G213" i="2"/>
  <c r="F213" i="2"/>
  <c r="E213" i="2"/>
  <c r="J212" i="2"/>
  <c r="I212" i="2"/>
  <c r="H212" i="2"/>
  <c r="G212" i="2"/>
  <c r="F212" i="2"/>
  <c r="E212" i="2"/>
  <c r="J211" i="2"/>
  <c r="I211" i="2"/>
  <c r="H211" i="2"/>
  <c r="G211" i="2"/>
  <c r="F211" i="2"/>
  <c r="E211" i="2"/>
  <c r="J210" i="2"/>
  <c r="I210" i="2"/>
  <c r="H210" i="2"/>
  <c r="G210" i="2"/>
  <c r="F210" i="2"/>
  <c r="E210" i="2"/>
  <c r="J209" i="2"/>
  <c r="I209" i="2"/>
  <c r="H209" i="2"/>
  <c r="G209" i="2"/>
  <c r="F209" i="2"/>
  <c r="E209" i="2"/>
  <c r="J208" i="2"/>
  <c r="I208" i="2"/>
  <c r="H208" i="2"/>
  <c r="G208" i="2"/>
  <c r="F208" i="2"/>
  <c r="E208" i="2"/>
  <c r="J207" i="2"/>
  <c r="I207" i="2"/>
  <c r="H207" i="2"/>
  <c r="G207" i="2"/>
  <c r="F207" i="2"/>
  <c r="E207" i="2"/>
  <c r="J206" i="2"/>
  <c r="I206" i="2"/>
  <c r="H206" i="2"/>
  <c r="G206" i="2"/>
  <c r="F206" i="2"/>
  <c r="E206" i="2"/>
  <c r="J205" i="2"/>
  <c r="I205" i="2"/>
  <c r="H205" i="2"/>
  <c r="G205" i="2"/>
  <c r="F205" i="2"/>
  <c r="E205" i="2"/>
  <c r="J204" i="2"/>
  <c r="I204" i="2"/>
  <c r="H204" i="2"/>
  <c r="G204" i="2"/>
  <c r="F204" i="2"/>
  <c r="E204" i="2"/>
  <c r="J203" i="2"/>
  <c r="I203" i="2"/>
  <c r="H203" i="2"/>
  <c r="G203" i="2"/>
  <c r="F203" i="2"/>
  <c r="E203" i="2"/>
  <c r="J202" i="2"/>
  <c r="I202" i="2"/>
  <c r="H202" i="2"/>
  <c r="G202" i="2"/>
  <c r="F202" i="2"/>
  <c r="E202" i="2"/>
  <c r="J201" i="2"/>
  <c r="I201" i="2"/>
  <c r="H201" i="2"/>
  <c r="G201" i="2"/>
  <c r="F201" i="2"/>
  <c r="E201" i="2"/>
  <c r="J200" i="2"/>
  <c r="I200" i="2"/>
  <c r="H200" i="2"/>
  <c r="G200" i="2"/>
  <c r="F200" i="2"/>
  <c r="E200" i="2"/>
  <c r="J199" i="2"/>
  <c r="I199" i="2"/>
  <c r="H199" i="2"/>
  <c r="G199" i="2"/>
  <c r="F199" i="2"/>
  <c r="E199" i="2"/>
  <c r="J198" i="2"/>
  <c r="I198" i="2"/>
  <c r="H198" i="2"/>
  <c r="G198" i="2"/>
  <c r="F198" i="2"/>
  <c r="E198" i="2"/>
  <c r="J197" i="2"/>
  <c r="I197" i="2"/>
  <c r="H197" i="2"/>
  <c r="G197" i="2"/>
  <c r="F197" i="2"/>
  <c r="E197" i="2"/>
  <c r="J196" i="2"/>
  <c r="I196" i="2"/>
  <c r="H196" i="2"/>
  <c r="G196" i="2"/>
  <c r="F196" i="2"/>
  <c r="E196" i="2"/>
  <c r="J195" i="2"/>
  <c r="I195" i="2"/>
  <c r="H195" i="2"/>
  <c r="G195" i="2"/>
  <c r="F195" i="2"/>
  <c r="E195" i="2"/>
  <c r="J194" i="2"/>
  <c r="I194" i="2"/>
  <c r="H194" i="2"/>
  <c r="G194" i="2"/>
  <c r="F194" i="2"/>
  <c r="E194" i="2"/>
  <c r="J193" i="2"/>
  <c r="I193" i="2"/>
  <c r="H193" i="2"/>
  <c r="G193" i="2"/>
  <c r="F193" i="2"/>
  <c r="E193" i="2"/>
  <c r="J192" i="2"/>
  <c r="I192" i="2"/>
  <c r="H192" i="2"/>
  <c r="G192" i="2"/>
  <c r="F192" i="2"/>
  <c r="E192" i="2"/>
  <c r="J191" i="2"/>
  <c r="I191" i="2"/>
  <c r="H191" i="2"/>
  <c r="G191" i="2"/>
  <c r="F191" i="2"/>
  <c r="E191" i="2"/>
  <c r="J190" i="2"/>
  <c r="I190" i="2"/>
  <c r="H190" i="2"/>
  <c r="G190" i="2"/>
  <c r="F190" i="2"/>
  <c r="E190" i="2"/>
  <c r="J189" i="2"/>
  <c r="I189" i="2"/>
  <c r="H189" i="2"/>
  <c r="G189" i="2"/>
  <c r="F189" i="2"/>
  <c r="E189" i="2"/>
  <c r="J188" i="2"/>
  <c r="I188" i="2"/>
  <c r="H188" i="2"/>
  <c r="G188" i="2"/>
  <c r="F188" i="2"/>
  <c r="E188" i="2"/>
  <c r="J187" i="2"/>
  <c r="I187" i="2"/>
  <c r="H187" i="2"/>
  <c r="G187" i="2"/>
  <c r="F187" i="2"/>
  <c r="E187" i="2"/>
  <c r="J186" i="2"/>
  <c r="I186" i="2"/>
  <c r="H186" i="2"/>
  <c r="G186" i="2"/>
  <c r="F186" i="2"/>
  <c r="E186" i="2"/>
  <c r="J185" i="2"/>
  <c r="I185" i="2"/>
  <c r="H185" i="2"/>
  <c r="G185" i="2"/>
  <c r="F185" i="2"/>
  <c r="E185" i="2"/>
  <c r="J184" i="2"/>
  <c r="I184" i="2"/>
  <c r="H184" i="2"/>
  <c r="G184" i="2"/>
  <c r="F184" i="2"/>
  <c r="E184" i="2"/>
  <c r="J183" i="2"/>
  <c r="I183" i="2"/>
  <c r="H183" i="2"/>
  <c r="G183" i="2"/>
  <c r="F183" i="2"/>
  <c r="E183" i="2"/>
  <c r="J182" i="2"/>
  <c r="I182" i="2"/>
  <c r="H182" i="2"/>
  <c r="G182" i="2"/>
  <c r="F182" i="2"/>
  <c r="E182" i="2"/>
  <c r="J181" i="2"/>
  <c r="I181" i="2"/>
  <c r="H181" i="2"/>
  <c r="G181" i="2"/>
  <c r="F181" i="2"/>
  <c r="E181" i="2"/>
  <c r="J180" i="2"/>
  <c r="I180" i="2"/>
  <c r="H180" i="2"/>
  <c r="G180" i="2"/>
  <c r="F180" i="2"/>
  <c r="E180" i="2"/>
  <c r="J179" i="2"/>
  <c r="I179" i="2"/>
  <c r="H179" i="2"/>
  <c r="G179" i="2"/>
  <c r="F179" i="2"/>
  <c r="E179" i="2"/>
  <c r="J178" i="2"/>
  <c r="I178" i="2"/>
  <c r="H178" i="2"/>
  <c r="G178" i="2"/>
  <c r="F178" i="2"/>
  <c r="E178" i="2"/>
  <c r="J177" i="2"/>
  <c r="I177" i="2"/>
  <c r="H177" i="2"/>
  <c r="G177" i="2"/>
  <c r="F177" i="2"/>
  <c r="E177" i="2"/>
  <c r="J176" i="2"/>
  <c r="I176" i="2"/>
  <c r="H176" i="2"/>
  <c r="G176" i="2"/>
  <c r="F176" i="2"/>
  <c r="E176" i="2"/>
  <c r="J175" i="2"/>
  <c r="I175" i="2"/>
  <c r="H175" i="2"/>
  <c r="G175" i="2"/>
  <c r="F175" i="2"/>
  <c r="E175" i="2"/>
  <c r="J174" i="2"/>
  <c r="I174" i="2"/>
  <c r="H174" i="2"/>
  <c r="G174" i="2"/>
  <c r="F174" i="2"/>
  <c r="E174" i="2"/>
  <c r="J173" i="2"/>
  <c r="I173" i="2"/>
  <c r="H173" i="2"/>
  <c r="G173" i="2"/>
  <c r="F173" i="2"/>
  <c r="E173" i="2"/>
  <c r="J172" i="2"/>
  <c r="I172" i="2"/>
  <c r="H172" i="2"/>
  <c r="G172" i="2"/>
  <c r="F172" i="2"/>
  <c r="E172" i="2"/>
  <c r="J171" i="2"/>
  <c r="I171" i="2"/>
  <c r="H171" i="2"/>
  <c r="G171" i="2"/>
  <c r="F171" i="2"/>
  <c r="E171" i="2"/>
  <c r="J170" i="2"/>
  <c r="I170" i="2"/>
  <c r="H170" i="2"/>
  <c r="G170" i="2"/>
  <c r="F170" i="2"/>
  <c r="E170" i="2"/>
  <c r="J169" i="2"/>
  <c r="I169" i="2"/>
  <c r="H169" i="2"/>
  <c r="G169" i="2"/>
  <c r="F169" i="2"/>
  <c r="E169" i="2"/>
  <c r="J168" i="2"/>
  <c r="I168" i="2"/>
  <c r="H168" i="2"/>
  <c r="G168" i="2"/>
  <c r="F168" i="2"/>
  <c r="E168" i="2"/>
  <c r="J167" i="2"/>
  <c r="I167" i="2"/>
  <c r="H167" i="2"/>
  <c r="G167" i="2"/>
  <c r="F167" i="2"/>
  <c r="E167" i="2"/>
  <c r="J166" i="2"/>
  <c r="I166" i="2"/>
  <c r="H166" i="2"/>
  <c r="G166" i="2"/>
  <c r="F166" i="2"/>
  <c r="E166" i="2"/>
  <c r="J165" i="2"/>
  <c r="I165" i="2"/>
  <c r="H165" i="2"/>
  <c r="G165" i="2"/>
  <c r="F165" i="2"/>
  <c r="E165" i="2"/>
  <c r="J164" i="2"/>
  <c r="I164" i="2"/>
  <c r="H164" i="2"/>
  <c r="G164" i="2"/>
  <c r="F164" i="2"/>
  <c r="E164" i="2"/>
  <c r="J163" i="2"/>
  <c r="I163" i="2"/>
  <c r="H163" i="2"/>
  <c r="G163" i="2"/>
  <c r="F163" i="2"/>
  <c r="E163" i="2"/>
  <c r="J162" i="2"/>
  <c r="I162" i="2"/>
  <c r="H162" i="2"/>
  <c r="G162" i="2"/>
  <c r="F162" i="2"/>
  <c r="E162" i="2"/>
  <c r="J161" i="2"/>
  <c r="I161" i="2"/>
  <c r="H161" i="2"/>
  <c r="G161" i="2"/>
  <c r="F161" i="2"/>
  <c r="E161" i="2"/>
  <c r="J160" i="2"/>
  <c r="I160" i="2"/>
  <c r="H160" i="2"/>
  <c r="G160" i="2"/>
  <c r="F160" i="2"/>
  <c r="E160" i="2"/>
  <c r="J159" i="2"/>
  <c r="I159" i="2"/>
  <c r="H159" i="2"/>
  <c r="G159" i="2"/>
  <c r="F159" i="2"/>
  <c r="E159" i="2"/>
  <c r="J158" i="2"/>
  <c r="I158" i="2"/>
  <c r="H158" i="2"/>
  <c r="G158" i="2"/>
  <c r="F158" i="2"/>
  <c r="E158" i="2"/>
  <c r="J157" i="2"/>
  <c r="I157" i="2"/>
  <c r="H157" i="2"/>
  <c r="G157" i="2"/>
  <c r="F157" i="2"/>
  <c r="E157" i="2"/>
  <c r="J156" i="2"/>
  <c r="I156" i="2"/>
  <c r="H156" i="2"/>
  <c r="G156" i="2"/>
  <c r="F156" i="2"/>
  <c r="E156" i="2"/>
  <c r="J155" i="2"/>
  <c r="I155" i="2"/>
  <c r="H155" i="2"/>
  <c r="G155" i="2"/>
  <c r="F155" i="2"/>
  <c r="E155" i="2"/>
  <c r="J154" i="2"/>
  <c r="I154" i="2"/>
  <c r="H154" i="2"/>
  <c r="G154" i="2"/>
  <c r="F154" i="2"/>
  <c r="E154" i="2"/>
  <c r="J153" i="2"/>
  <c r="I153" i="2"/>
  <c r="H153" i="2"/>
  <c r="G153" i="2"/>
  <c r="F153" i="2"/>
  <c r="E153" i="2"/>
  <c r="J152" i="2"/>
  <c r="I152" i="2"/>
  <c r="H152" i="2"/>
  <c r="G152" i="2"/>
  <c r="F152" i="2"/>
  <c r="E152" i="2"/>
  <c r="J151" i="2"/>
  <c r="I151" i="2"/>
  <c r="H151" i="2"/>
  <c r="G151" i="2"/>
  <c r="F151" i="2"/>
  <c r="E151" i="2"/>
  <c r="J150" i="2"/>
  <c r="I150" i="2"/>
  <c r="H150" i="2"/>
  <c r="G150" i="2"/>
  <c r="F150" i="2"/>
  <c r="E150" i="2"/>
  <c r="J149" i="2"/>
  <c r="I149" i="2"/>
  <c r="H149" i="2"/>
  <c r="G149" i="2"/>
  <c r="F149" i="2"/>
  <c r="E149" i="2"/>
  <c r="J148" i="2"/>
  <c r="I148" i="2"/>
  <c r="H148" i="2"/>
  <c r="G148" i="2"/>
  <c r="F148" i="2"/>
  <c r="E148" i="2"/>
  <c r="J147" i="2"/>
  <c r="I147" i="2"/>
  <c r="H147" i="2"/>
  <c r="G147" i="2"/>
  <c r="F147" i="2"/>
  <c r="E147" i="2"/>
  <c r="J146" i="2"/>
  <c r="I146" i="2"/>
  <c r="H146" i="2"/>
  <c r="G146" i="2"/>
  <c r="F146" i="2"/>
  <c r="E146" i="2"/>
  <c r="J145" i="2"/>
  <c r="I145" i="2"/>
  <c r="H145" i="2"/>
  <c r="G145" i="2"/>
  <c r="F145" i="2"/>
  <c r="E145" i="2"/>
  <c r="J144" i="2"/>
  <c r="I144" i="2"/>
  <c r="H144" i="2"/>
  <c r="G144" i="2"/>
  <c r="F144" i="2"/>
  <c r="E144" i="2"/>
  <c r="J143" i="2"/>
  <c r="I143" i="2"/>
  <c r="H143" i="2"/>
  <c r="G143" i="2"/>
  <c r="F143" i="2"/>
  <c r="E143" i="2"/>
  <c r="J142" i="2"/>
  <c r="I142" i="2"/>
  <c r="H142" i="2"/>
  <c r="G142" i="2"/>
  <c r="F142" i="2"/>
  <c r="E142" i="2"/>
  <c r="J141" i="2"/>
  <c r="I141" i="2"/>
  <c r="H141" i="2"/>
  <c r="G141" i="2"/>
  <c r="F141" i="2"/>
  <c r="E141" i="2"/>
  <c r="J140" i="2"/>
  <c r="I140" i="2"/>
  <c r="H140" i="2"/>
  <c r="G140" i="2"/>
  <c r="F140" i="2"/>
  <c r="E140" i="2"/>
  <c r="J139" i="2"/>
  <c r="I139" i="2"/>
  <c r="H139" i="2"/>
  <c r="G139" i="2"/>
  <c r="F139" i="2"/>
  <c r="E139" i="2"/>
  <c r="J138" i="2"/>
  <c r="I138" i="2"/>
  <c r="H138" i="2"/>
  <c r="G138" i="2"/>
  <c r="F138" i="2"/>
  <c r="E138" i="2"/>
  <c r="J137" i="2"/>
  <c r="I137" i="2"/>
  <c r="H137" i="2"/>
  <c r="G137" i="2"/>
  <c r="F137" i="2"/>
  <c r="E137" i="2"/>
  <c r="J136" i="2"/>
  <c r="I136" i="2"/>
  <c r="H136" i="2"/>
  <c r="G136" i="2"/>
  <c r="F136" i="2"/>
  <c r="E136" i="2"/>
  <c r="J135" i="2"/>
  <c r="I135" i="2"/>
  <c r="H135" i="2"/>
  <c r="G135" i="2"/>
  <c r="F135" i="2"/>
  <c r="E135" i="2"/>
  <c r="J134" i="2"/>
  <c r="I134" i="2"/>
  <c r="H134" i="2"/>
  <c r="G134" i="2"/>
  <c r="F134" i="2"/>
  <c r="E134" i="2"/>
  <c r="J133" i="2"/>
  <c r="I133" i="2"/>
  <c r="H133" i="2"/>
  <c r="G133" i="2"/>
  <c r="F133" i="2"/>
  <c r="E133" i="2"/>
  <c r="J132" i="2"/>
  <c r="I132" i="2"/>
  <c r="H132" i="2"/>
  <c r="G132" i="2"/>
  <c r="F132" i="2"/>
  <c r="E132" i="2"/>
  <c r="J131" i="2"/>
  <c r="I131" i="2"/>
  <c r="H131" i="2"/>
  <c r="G131" i="2"/>
  <c r="F131" i="2"/>
  <c r="E131" i="2"/>
  <c r="J130" i="2"/>
  <c r="I130" i="2"/>
  <c r="H130" i="2"/>
  <c r="G130" i="2"/>
  <c r="F130" i="2"/>
  <c r="E130" i="2"/>
  <c r="J129" i="2"/>
  <c r="I129" i="2"/>
  <c r="H129" i="2"/>
  <c r="G129" i="2"/>
  <c r="F129" i="2"/>
  <c r="E129" i="2"/>
  <c r="J128" i="2"/>
  <c r="I128" i="2"/>
  <c r="H128" i="2"/>
  <c r="G128" i="2"/>
  <c r="F128" i="2"/>
  <c r="E128" i="2"/>
  <c r="J127" i="2"/>
  <c r="I127" i="2"/>
  <c r="H127" i="2"/>
  <c r="G127" i="2"/>
  <c r="F127" i="2"/>
  <c r="E127" i="2"/>
  <c r="J126" i="2"/>
  <c r="I126" i="2"/>
  <c r="H126" i="2"/>
  <c r="G126" i="2"/>
  <c r="F126" i="2"/>
  <c r="E126" i="2"/>
  <c r="J125" i="2"/>
  <c r="I125" i="2"/>
  <c r="H125" i="2"/>
  <c r="G125" i="2"/>
  <c r="F125" i="2"/>
  <c r="E125" i="2"/>
  <c r="J124" i="2"/>
  <c r="I124" i="2"/>
  <c r="H124" i="2"/>
  <c r="G124" i="2"/>
  <c r="F124" i="2"/>
  <c r="E124" i="2"/>
  <c r="J123" i="2"/>
  <c r="I123" i="2"/>
  <c r="H123" i="2"/>
  <c r="G123" i="2"/>
  <c r="F123" i="2"/>
  <c r="E123" i="2"/>
  <c r="J122" i="2"/>
  <c r="I122" i="2"/>
  <c r="H122" i="2"/>
  <c r="G122" i="2"/>
  <c r="F122" i="2"/>
  <c r="E122" i="2"/>
  <c r="J121" i="2"/>
  <c r="I121" i="2"/>
  <c r="H121" i="2"/>
  <c r="G121" i="2"/>
  <c r="F121" i="2"/>
  <c r="E121" i="2"/>
  <c r="J120" i="2"/>
  <c r="I120" i="2"/>
  <c r="H120" i="2"/>
  <c r="G120" i="2"/>
  <c r="F120" i="2"/>
  <c r="E120" i="2"/>
  <c r="J119" i="2"/>
  <c r="I119" i="2"/>
  <c r="H119" i="2"/>
  <c r="G119" i="2"/>
  <c r="F119" i="2"/>
  <c r="E119" i="2"/>
  <c r="J118" i="2"/>
  <c r="I118" i="2"/>
  <c r="H118" i="2"/>
  <c r="G118" i="2"/>
  <c r="F118" i="2"/>
  <c r="E118" i="2"/>
  <c r="J117" i="2"/>
  <c r="I117" i="2"/>
  <c r="H117" i="2"/>
  <c r="G117" i="2"/>
  <c r="F117" i="2"/>
  <c r="E117" i="2"/>
  <c r="J116" i="2"/>
  <c r="I116" i="2"/>
  <c r="H116" i="2"/>
  <c r="G116" i="2"/>
  <c r="F116" i="2"/>
  <c r="E116" i="2"/>
  <c r="J115" i="2"/>
  <c r="I115" i="2"/>
  <c r="H115" i="2"/>
  <c r="G115" i="2"/>
  <c r="F115" i="2"/>
  <c r="E115" i="2"/>
  <c r="J114" i="2"/>
  <c r="I114" i="2"/>
  <c r="H114" i="2"/>
  <c r="G114" i="2"/>
  <c r="F114" i="2"/>
  <c r="E114" i="2"/>
  <c r="J113" i="2"/>
  <c r="I113" i="2"/>
  <c r="H113" i="2"/>
  <c r="G113" i="2"/>
  <c r="F113" i="2"/>
  <c r="E113" i="2"/>
  <c r="J112" i="2"/>
  <c r="I112" i="2"/>
  <c r="H112" i="2"/>
  <c r="G112" i="2"/>
  <c r="F112" i="2"/>
  <c r="E112" i="2"/>
  <c r="J111" i="2"/>
  <c r="I111" i="2"/>
  <c r="H111" i="2"/>
  <c r="G111" i="2"/>
  <c r="F111" i="2"/>
  <c r="E111" i="2"/>
  <c r="J110" i="2"/>
  <c r="I110" i="2"/>
  <c r="H110" i="2"/>
  <c r="G110" i="2"/>
  <c r="F110" i="2"/>
  <c r="E110" i="2"/>
  <c r="J109" i="2"/>
  <c r="I109" i="2"/>
  <c r="H109" i="2"/>
  <c r="G109" i="2"/>
  <c r="F109" i="2"/>
  <c r="E109" i="2"/>
  <c r="J108" i="2"/>
  <c r="I108" i="2"/>
  <c r="H108" i="2"/>
  <c r="G108" i="2"/>
  <c r="F108" i="2"/>
  <c r="E108" i="2"/>
  <c r="J107" i="2"/>
  <c r="I107" i="2"/>
  <c r="H107" i="2"/>
  <c r="G107" i="2"/>
  <c r="F107" i="2"/>
  <c r="E107" i="2"/>
  <c r="J106" i="2"/>
  <c r="I106" i="2"/>
  <c r="H106" i="2"/>
  <c r="G106" i="2"/>
  <c r="F106" i="2"/>
  <c r="E106" i="2"/>
  <c r="J105" i="2"/>
  <c r="I105" i="2"/>
  <c r="H105" i="2"/>
  <c r="G105" i="2"/>
  <c r="F105" i="2"/>
  <c r="E105" i="2"/>
  <c r="J104" i="2"/>
  <c r="I104" i="2"/>
  <c r="H104" i="2"/>
  <c r="G104" i="2"/>
  <c r="F104" i="2"/>
  <c r="E104" i="2"/>
  <c r="J103" i="2"/>
  <c r="I103" i="2"/>
  <c r="H103" i="2"/>
  <c r="G103" i="2"/>
  <c r="F103" i="2"/>
  <c r="E103" i="2"/>
  <c r="J102" i="2"/>
  <c r="I102" i="2"/>
  <c r="H102" i="2"/>
  <c r="G102" i="2"/>
  <c r="F102" i="2"/>
  <c r="E102" i="2"/>
  <c r="J101" i="2"/>
  <c r="I101" i="2"/>
  <c r="H101" i="2"/>
  <c r="G101" i="2"/>
  <c r="F101" i="2"/>
  <c r="E101" i="2"/>
  <c r="J100" i="2"/>
  <c r="I100" i="2"/>
  <c r="H100" i="2"/>
  <c r="G100" i="2"/>
  <c r="F100" i="2"/>
  <c r="E100" i="2"/>
  <c r="J99" i="2"/>
  <c r="I99" i="2"/>
  <c r="H99" i="2"/>
  <c r="G99" i="2"/>
  <c r="F99" i="2"/>
  <c r="E99" i="2"/>
  <c r="J98" i="2"/>
  <c r="I98" i="2"/>
  <c r="H98" i="2"/>
  <c r="G98" i="2"/>
  <c r="F98" i="2"/>
  <c r="E98" i="2"/>
  <c r="J97" i="2"/>
  <c r="I97" i="2"/>
  <c r="H97" i="2"/>
  <c r="G97" i="2"/>
  <c r="F97" i="2"/>
  <c r="E97" i="2"/>
  <c r="J96" i="2"/>
  <c r="I96" i="2"/>
  <c r="H96" i="2"/>
  <c r="G96" i="2"/>
  <c r="F96" i="2"/>
  <c r="E96" i="2"/>
  <c r="J95" i="2"/>
  <c r="I95" i="2"/>
  <c r="H95" i="2"/>
  <c r="G95" i="2"/>
  <c r="F95" i="2"/>
  <c r="E95" i="2"/>
  <c r="J94" i="2"/>
  <c r="I94" i="2"/>
  <c r="H94" i="2"/>
  <c r="G94" i="2"/>
  <c r="F94" i="2"/>
  <c r="E94" i="2"/>
  <c r="J93" i="2"/>
  <c r="I93" i="2"/>
  <c r="H93" i="2"/>
  <c r="G93" i="2"/>
  <c r="F93" i="2"/>
  <c r="E93" i="2"/>
  <c r="J92" i="2"/>
  <c r="I92" i="2"/>
  <c r="H92" i="2"/>
  <c r="G92" i="2"/>
  <c r="F92" i="2"/>
  <c r="E92" i="2"/>
  <c r="J91" i="2"/>
  <c r="I91" i="2"/>
  <c r="H91" i="2"/>
  <c r="G91" i="2"/>
  <c r="F91" i="2"/>
  <c r="E91" i="2"/>
  <c r="J90" i="2"/>
  <c r="I90" i="2"/>
  <c r="H90" i="2"/>
  <c r="G90" i="2"/>
  <c r="F90" i="2"/>
  <c r="E90" i="2"/>
  <c r="J89" i="2"/>
  <c r="I89" i="2"/>
  <c r="H89" i="2"/>
  <c r="G89" i="2"/>
  <c r="F89" i="2"/>
  <c r="E89" i="2"/>
  <c r="J88" i="2"/>
  <c r="I88" i="2"/>
  <c r="H88" i="2"/>
  <c r="G88" i="2"/>
  <c r="F88" i="2"/>
  <c r="E88" i="2"/>
  <c r="J87" i="2"/>
  <c r="I87" i="2"/>
  <c r="H87" i="2"/>
  <c r="G87" i="2"/>
  <c r="F87" i="2"/>
  <c r="E87" i="2"/>
  <c r="J86" i="2"/>
  <c r="I86" i="2"/>
  <c r="H86" i="2"/>
  <c r="G86" i="2"/>
  <c r="F86" i="2"/>
  <c r="E86" i="2"/>
  <c r="J85" i="2"/>
  <c r="I85" i="2"/>
  <c r="H85" i="2"/>
  <c r="G85" i="2"/>
  <c r="F85" i="2"/>
  <c r="E85" i="2"/>
  <c r="J84" i="2"/>
  <c r="I84" i="2"/>
  <c r="H84" i="2"/>
  <c r="G84" i="2"/>
  <c r="F84" i="2"/>
  <c r="E84" i="2"/>
  <c r="J83" i="2"/>
  <c r="I83" i="2"/>
  <c r="H83" i="2"/>
  <c r="G83" i="2"/>
  <c r="F83" i="2"/>
  <c r="E83" i="2"/>
  <c r="J82" i="2"/>
  <c r="I82" i="2"/>
  <c r="H82" i="2"/>
  <c r="G82" i="2"/>
  <c r="F82" i="2"/>
  <c r="E82" i="2"/>
  <c r="J81" i="2"/>
  <c r="I81" i="2"/>
  <c r="H81" i="2"/>
  <c r="G81" i="2"/>
  <c r="F81" i="2"/>
  <c r="E81" i="2"/>
  <c r="J80" i="2"/>
  <c r="I80" i="2"/>
  <c r="H80" i="2"/>
  <c r="G80" i="2"/>
  <c r="F80" i="2"/>
  <c r="E80" i="2"/>
  <c r="J79" i="2"/>
  <c r="I79" i="2"/>
  <c r="H79" i="2"/>
  <c r="G79" i="2"/>
  <c r="F79" i="2"/>
  <c r="E79" i="2"/>
  <c r="J78" i="2"/>
  <c r="I78" i="2"/>
  <c r="H78" i="2"/>
  <c r="G78" i="2"/>
  <c r="F78" i="2"/>
  <c r="E78" i="2"/>
  <c r="J77" i="2"/>
  <c r="I77" i="2"/>
  <c r="H77" i="2"/>
  <c r="G77" i="2"/>
  <c r="F77" i="2"/>
  <c r="E77" i="2"/>
  <c r="J76" i="2"/>
  <c r="I76" i="2"/>
  <c r="H76" i="2"/>
  <c r="G76" i="2"/>
  <c r="F76" i="2"/>
  <c r="E76" i="2"/>
  <c r="J75" i="2"/>
  <c r="I75" i="2"/>
  <c r="H75" i="2"/>
  <c r="G75" i="2"/>
  <c r="F75" i="2"/>
  <c r="E75" i="2"/>
  <c r="J74" i="2"/>
  <c r="I74" i="2"/>
  <c r="H74" i="2"/>
  <c r="G74" i="2"/>
  <c r="F74" i="2"/>
  <c r="E74" i="2"/>
  <c r="J73" i="2"/>
  <c r="I73" i="2"/>
  <c r="H73" i="2"/>
  <c r="G73" i="2"/>
  <c r="F73" i="2"/>
  <c r="E73" i="2"/>
  <c r="J72" i="2"/>
  <c r="I72" i="2"/>
  <c r="H72" i="2"/>
  <c r="G72" i="2"/>
  <c r="F72" i="2"/>
  <c r="E72" i="2"/>
  <c r="J71" i="2"/>
  <c r="I71" i="2"/>
  <c r="H71" i="2"/>
  <c r="G71" i="2"/>
  <c r="F71" i="2"/>
  <c r="E71" i="2"/>
  <c r="J70" i="2"/>
  <c r="I70" i="2"/>
  <c r="H70" i="2"/>
  <c r="G70" i="2"/>
  <c r="F70" i="2"/>
  <c r="E70" i="2"/>
  <c r="J69" i="2"/>
  <c r="I69" i="2"/>
  <c r="H69" i="2"/>
  <c r="G69" i="2"/>
  <c r="F69" i="2"/>
  <c r="E69" i="2"/>
  <c r="J68" i="2"/>
  <c r="I68" i="2"/>
  <c r="H68" i="2"/>
  <c r="G68" i="2"/>
  <c r="F68" i="2"/>
  <c r="E68" i="2"/>
  <c r="J67" i="2"/>
  <c r="I67" i="2"/>
  <c r="H67" i="2"/>
  <c r="G67" i="2"/>
  <c r="F67" i="2"/>
  <c r="E67" i="2"/>
  <c r="J66" i="2"/>
  <c r="I66" i="2"/>
  <c r="H66" i="2"/>
  <c r="G66" i="2"/>
  <c r="F66" i="2"/>
  <c r="E66" i="2"/>
  <c r="J65" i="2"/>
  <c r="I65" i="2"/>
  <c r="H65" i="2"/>
  <c r="G65" i="2"/>
  <c r="F65" i="2"/>
  <c r="E65" i="2"/>
  <c r="J64" i="2"/>
  <c r="I64" i="2"/>
  <c r="H64" i="2"/>
  <c r="G64" i="2"/>
  <c r="F64" i="2"/>
  <c r="E64" i="2"/>
  <c r="J63" i="2"/>
  <c r="I63" i="2"/>
  <c r="H63" i="2"/>
  <c r="G63" i="2"/>
  <c r="F63" i="2"/>
  <c r="E63" i="2"/>
  <c r="J62" i="2"/>
  <c r="I62" i="2"/>
  <c r="H62" i="2"/>
  <c r="G62" i="2"/>
  <c r="F62" i="2"/>
  <c r="E62" i="2"/>
  <c r="J61" i="2"/>
  <c r="I61" i="2"/>
  <c r="H61" i="2"/>
  <c r="G61" i="2"/>
  <c r="F61" i="2"/>
  <c r="E61" i="2"/>
  <c r="J60" i="2"/>
  <c r="I60" i="2"/>
  <c r="H60" i="2"/>
  <c r="G60" i="2"/>
  <c r="F60" i="2"/>
  <c r="E60" i="2"/>
  <c r="J59" i="2"/>
  <c r="I59" i="2"/>
  <c r="H59" i="2"/>
  <c r="G59" i="2"/>
  <c r="F59" i="2"/>
  <c r="E59" i="2"/>
  <c r="J58" i="2"/>
  <c r="I58" i="2"/>
  <c r="H58" i="2"/>
  <c r="G58" i="2"/>
  <c r="F58" i="2"/>
  <c r="E58" i="2"/>
  <c r="J57" i="2"/>
  <c r="I57" i="2"/>
  <c r="H57" i="2"/>
  <c r="G57" i="2"/>
  <c r="F57" i="2"/>
  <c r="E57" i="2"/>
  <c r="J56" i="2"/>
  <c r="I56" i="2"/>
  <c r="H56" i="2"/>
  <c r="G56" i="2"/>
  <c r="F56" i="2"/>
  <c r="E56" i="2"/>
  <c r="J55" i="2"/>
  <c r="I55" i="2"/>
  <c r="H55" i="2"/>
  <c r="G55" i="2"/>
  <c r="F55" i="2"/>
  <c r="E55" i="2"/>
  <c r="J54" i="2"/>
  <c r="I54" i="2"/>
  <c r="H54" i="2"/>
  <c r="G54" i="2"/>
  <c r="F54" i="2"/>
  <c r="E54" i="2"/>
  <c r="J53" i="2"/>
  <c r="I53" i="2"/>
  <c r="H53" i="2"/>
  <c r="G53" i="2"/>
  <c r="F53" i="2"/>
  <c r="E53" i="2"/>
  <c r="J52" i="2"/>
  <c r="I52" i="2"/>
  <c r="H52" i="2"/>
  <c r="G52" i="2"/>
  <c r="F52" i="2"/>
  <c r="E52" i="2"/>
  <c r="J51" i="2"/>
  <c r="I51" i="2"/>
  <c r="H51" i="2"/>
  <c r="G51" i="2"/>
  <c r="F51" i="2"/>
  <c r="E51" i="2"/>
  <c r="J50" i="2"/>
  <c r="I50" i="2"/>
  <c r="H50" i="2"/>
  <c r="G50" i="2"/>
  <c r="F50" i="2"/>
  <c r="E50" i="2"/>
  <c r="J49" i="2"/>
  <c r="I49" i="2"/>
  <c r="H49" i="2"/>
  <c r="G49" i="2"/>
  <c r="F49" i="2"/>
  <c r="E49" i="2"/>
  <c r="J48" i="2"/>
  <c r="I48" i="2"/>
  <c r="H48" i="2"/>
  <c r="G48" i="2"/>
  <c r="F48" i="2"/>
  <c r="E48" i="2"/>
  <c r="J47" i="2"/>
  <c r="I47" i="2"/>
  <c r="H47" i="2"/>
  <c r="G47" i="2"/>
  <c r="F47" i="2"/>
  <c r="E47" i="2"/>
  <c r="J46" i="2"/>
  <c r="I46" i="2"/>
  <c r="H46" i="2"/>
  <c r="G46" i="2"/>
  <c r="F46" i="2"/>
  <c r="E46" i="2"/>
  <c r="J45" i="2"/>
  <c r="I45" i="2"/>
  <c r="H45" i="2"/>
  <c r="G45" i="2"/>
  <c r="F45" i="2"/>
  <c r="E45" i="2"/>
  <c r="J44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J31" i="2"/>
  <c r="I31" i="2"/>
  <c r="H31" i="2"/>
  <c r="G31" i="2"/>
  <c r="F31" i="2"/>
  <c r="E31" i="2"/>
  <c r="J30" i="2"/>
  <c r="I30" i="2"/>
  <c r="H30" i="2"/>
  <c r="G30" i="2"/>
  <c r="F30" i="2"/>
  <c r="E30" i="2"/>
  <c r="J29" i="2"/>
  <c r="I29" i="2"/>
  <c r="H29" i="2"/>
  <c r="G29" i="2"/>
  <c r="F29" i="2"/>
  <c r="E29" i="2"/>
  <c r="J28" i="2"/>
  <c r="I28" i="2"/>
  <c r="H28" i="2"/>
  <c r="G28" i="2"/>
  <c r="F28" i="2"/>
  <c r="E28" i="2"/>
  <c r="J27" i="2"/>
  <c r="I27" i="2"/>
  <c r="H27" i="2"/>
  <c r="G27" i="2"/>
  <c r="F27" i="2"/>
  <c r="E27" i="2"/>
  <c r="J26" i="2"/>
  <c r="I26" i="2"/>
  <c r="H26" i="2"/>
  <c r="G26" i="2"/>
  <c r="F26" i="2"/>
  <c r="E26" i="2"/>
  <c r="J25" i="2"/>
  <c r="I25" i="2"/>
  <c r="H25" i="2"/>
  <c r="G25" i="2"/>
  <c r="F25" i="2"/>
  <c r="E25" i="2"/>
  <c r="J24" i="2"/>
  <c r="I24" i="2"/>
  <c r="H24" i="2"/>
  <c r="G24" i="2"/>
  <c r="F24" i="2"/>
  <c r="E24" i="2"/>
  <c r="J23" i="2"/>
  <c r="I23" i="2"/>
  <c r="H23" i="2"/>
  <c r="G23" i="2"/>
  <c r="F23" i="2"/>
  <c r="E23" i="2"/>
  <c r="J22" i="2"/>
  <c r="I22" i="2"/>
  <c r="H22" i="2"/>
  <c r="G22" i="2"/>
  <c r="F22" i="2"/>
  <c r="E22" i="2"/>
  <c r="J21" i="2"/>
  <c r="I21" i="2"/>
  <c r="H21" i="2"/>
  <c r="G21" i="2"/>
  <c r="F21" i="2"/>
  <c r="E21" i="2"/>
  <c r="J20" i="2"/>
  <c r="I20" i="2"/>
  <c r="H20" i="2"/>
  <c r="G20" i="2"/>
  <c r="F20" i="2"/>
  <c r="E20" i="2"/>
  <c r="J19" i="2"/>
  <c r="I19" i="2"/>
  <c r="H19" i="2"/>
  <c r="G19" i="2"/>
  <c r="F19" i="2"/>
  <c r="E19" i="2"/>
  <c r="J18" i="2"/>
  <c r="I18" i="2"/>
  <c r="H18" i="2"/>
  <c r="G18" i="2"/>
  <c r="F18" i="2"/>
  <c r="E18" i="2"/>
  <c r="J17" i="2"/>
  <c r="I17" i="2"/>
  <c r="H17" i="2"/>
  <c r="G17" i="2"/>
  <c r="F17" i="2"/>
  <c r="E17" i="2"/>
  <c r="J16" i="2"/>
  <c r="I16" i="2"/>
  <c r="H16" i="2"/>
  <c r="G16" i="2"/>
  <c r="F16" i="2"/>
  <c r="E16" i="2"/>
  <c r="J15" i="2"/>
  <c r="I15" i="2"/>
  <c r="H15" i="2"/>
  <c r="G15" i="2"/>
  <c r="F15" i="2"/>
  <c r="E15" i="2"/>
  <c r="J14" i="2"/>
  <c r="I14" i="2"/>
  <c r="H14" i="2"/>
  <c r="G14" i="2"/>
  <c r="F14" i="2"/>
  <c r="E14" i="2"/>
  <c r="J13" i="2"/>
  <c r="I13" i="2"/>
  <c r="H13" i="2"/>
  <c r="G13" i="2"/>
  <c r="F13" i="2"/>
  <c r="E13" i="2"/>
  <c r="J12" i="2"/>
  <c r="I12" i="2"/>
  <c r="H12" i="2"/>
  <c r="G12" i="2"/>
  <c r="F12" i="2"/>
  <c r="E12" i="2"/>
  <c r="J11" i="2"/>
  <c r="I11" i="2"/>
  <c r="H11" i="2"/>
  <c r="G11" i="2"/>
  <c r="F11" i="2"/>
  <c r="E11" i="2"/>
  <c r="J10" i="2"/>
  <c r="I10" i="2"/>
  <c r="H10" i="2"/>
  <c r="G10" i="2"/>
  <c r="F10" i="2"/>
  <c r="E10" i="2"/>
  <c r="J9" i="2"/>
  <c r="I9" i="2"/>
  <c r="H9" i="2"/>
  <c r="G9" i="2"/>
  <c r="F9" i="2"/>
  <c r="E9" i="2"/>
  <c r="J8" i="2"/>
  <c r="I8" i="2"/>
  <c r="H8" i="2"/>
  <c r="G8" i="2"/>
  <c r="F8" i="2"/>
  <c r="E8" i="2"/>
  <c r="J7" i="2"/>
  <c r="I7" i="2"/>
  <c r="H7" i="2"/>
  <c r="G7" i="2"/>
  <c r="F7" i="2"/>
  <c r="E7" i="2"/>
  <c r="J6" i="2"/>
  <c r="I6" i="2"/>
  <c r="H6" i="2"/>
  <c r="G6" i="2"/>
  <c r="F6" i="2"/>
  <c r="E6" i="2"/>
  <c r="J5" i="2"/>
  <c r="I5" i="2"/>
  <c r="H5" i="2"/>
  <c r="G5" i="2"/>
  <c r="F5" i="2"/>
  <c r="E5" i="2"/>
  <c r="J4" i="2"/>
  <c r="I4" i="2"/>
  <c r="H4" i="2"/>
  <c r="G4" i="2"/>
  <c r="F4" i="2"/>
  <c r="E4" i="2"/>
  <c r="J3" i="2"/>
  <c r="I3" i="2"/>
  <c r="H3" i="2"/>
  <c r="G3" i="2"/>
  <c r="F3" i="2"/>
  <c r="E3" i="2"/>
</calcChain>
</file>

<file path=xl/sharedStrings.xml><?xml version="1.0" encoding="utf-8"?>
<sst xmlns="http://schemas.openxmlformats.org/spreadsheetml/2006/main" count="4784" uniqueCount="1598">
  <si>
    <t>Timestamp</t>
  </si>
  <si>
    <t>Nama / Perusahaan</t>
  </si>
  <si>
    <t>Alamat</t>
  </si>
  <si>
    <t>No. Telp./HP (tulis dengan format 08xxx)</t>
  </si>
  <si>
    <t>Jenis Pesanan</t>
  </si>
  <si>
    <t>Jenis UTTP</t>
  </si>
  <si>
    <t>Merk (Jika tidak ada isi -)</t>
  </si>
  <si>
    <t>Tipe (Jika tidak ada isi -)</t>
  </si>
  <si>
    <t>No. Seri (Jika tidak ada isi -)</t>
  </si>
  <si>
    <t>Kapasitas / Skala Terkecil (tuliskan satuan kg/g)</t>
  </si>
  <si>
    <t>Upload foto UTTP (sebelum pengujian)</t>
  </si>
  <si>
    <t>Apotek Wijoyo Kusumo</t>
  </si>
  <si>
    <t>Jl. Kutoarjo KM 2, Jatisari, Kecamatan Kebumen, Kabupaten Kebumen</t>
  </si>
  <si>
    <t>081328252683</t>
  </si>
  <si>
    <t>Tera Ulang</t>
  </si>
  <si>
    <t>Timbangan Elektronik</t>
  </si>
  <si>
    <t>ACIS</t>
  </si>
  <si>
    <t>BC 500</t>
  </si>
  <si>
    <t>E241203145</t>
  </si>
  <si>
    <t>500 g / 0,1 g</t>
  </si>
  <si>
    <t>https://drive.google.com/open?id=1nJTfGHX9zoXwQwQrtmCbRod64GKJ63iQ</t>
  </si>
  <si>
    <t xml:space="preserve">PT. Karya Adi Kencana </t>
  </si>
  <si>
    <t>Jl. Raya Tembana Peniron No.1, Desa Karangpoh, Kecamatan Pejagoan, Kabupaten Kebumen</t>
  </si>
  <si>
    <t>081805863292</t>
  </si>
  <si>
    <t>Tera</t>
  </si>
  <si>
    <t>SONIC</t>
  </si>
  <si>
    <t>A12E</t>
  </si>
  <si>
    <t>IMI23019437</t>
  </si>
  <si>
    <t xml:space="preserve">6000 kg / 1 kg </t>
  </si>
  <si>
    <t>PT. Karya Adi Kencana,</t>
  </si>
  <si>
    <t>OMRON</t>
  </si>
  <si>
    <t>K3HB VLC</t>
  </si>
  <si>
    <t>-</t>
  </si>
  <si>
    <t xml:space="preserve">5000 kg / 1 kg </t>
  </si>
  <si>
    <t>PT. Karya Adi Kencana,,</t>
  </si>
  <si>
    <t xml:space="preserve">K3HB VLC </t>
  </si>
  <si>
    <t xml:space="preserve">2000 kg / 1 kg </t>
  </si>
  <si>
    <t>PT. Karya Adi Kencana,,,</t>
  </si>
  <si>
    <t>PT. Karya Adi Kencana.</t>
  </si>
  <si>
    <t>WEIGHING INDICATOR</t>
  </si>
  <si>
    <t>AC 9000</t>
  </si>
  <si>
    <t xml:space="preserve">4000 kg / 2 kg </t>
  </si>
  <si>
    <t>PT. Karya Adi Kencana..</t>
  </si>
  <si>
    <t xml:space="preserve">GREAT SCALE </t>
  </si>
  <si>
    <t>IMIWH9-1909000758</t>
  </si>
  <si>
    <t xml:space="preserve">1000 kg / 1 kg </t>
  </si>
  <si>
    <t>PT. Karya Adi Kencana...</t>
  </si>
  <si>
    <t>A12E2206008</t>
  </si>
  <si>
    <t xml:space="preserve">3000 kg / 0,5 kg </t>
  </si>
  <si>
    <t>SPBU 44.543.04 PT. Tawakal Tsani Makmur</t>
  </si>
  <si>
    <t>Jl. Yos Sudarso no 122, Desa Wero, Kec. Gombong, Kab. Kebumen</t>
  </si>
  <si>
    <t>085310753455</t>
  </si>
  <si>
    <t>PU BBM</t>
  </si>
  <si>
    <t>Gilbarco</t>
  </si>
  <si>
    <t>B21</t>
  </si>
  <si>
    <t>HEPA 097853</t>
  </si>
  <si>
    <t>https://drive.google.com/open?id=1kXX2vYchhm5UmtUU_WUI4nMnhloPP0Aa</t>
  </si>
  <si>
    <t>SPBU 44.543.04 PT. Tawakal Tsani Makmur.</t>
  </si>
  <si>
    <t xml:space="preserve">Gilbarco </t>
  </si>
  <si>
    <t>KDPA 028431</t>
  </si>
  <si>
    <t>https://drive.google.com/open?id=1555aEwhqvxa1aDE5zpvOtJl4raixXIa8</t>
  </si>
  <si>
    <t>KPH KEDU SELATAN</t>
  </si>
  <si>
    <t>Jl. A. Yani No 23 Purworejo</t>
  </si>
  <si>
    <t>Dacin</t>
  </si>
  <si>
    <t>SNS</t>
  </si>
  <si>
    <t>110 kg / 500 g</t>
  </si>
  <si>
    <t>KPH KEDU SELATAN.</t>
  </si>
  <si>
    <t>KPH KEDU SELATAN..</t>
  </si>
  <si>
    <t>KPH KEDU SELATAN...</t>
  </si>
  <si>
    <t>KPH KEDU SELATAN,</t>
  </si>
  <si>
    <t>Timbangan Sentisimal</t>
  </si>
  <si>
    <t>Armada</t>
  </si>
  <si>
    <t>500 kg / 200 g</t>
  </si>
  <si>
    <t>KPH KEDU SELATAN,,</t>
  </si>
  <si>
    <t>Intra</t>
  </si>
  <si>
    <t>300 kg / 100 g</t>
  </si>
  <si>
    <t>Anak Timbangan</t>
  </si>
  <si>
    <t>4 buah</t>
  </si>
  <si>
    <t>SPBU 44.543.04 PT. Tawakal Tsani Makmur..</t>
  </si>
  <si>
    <t>Wayne</t>
  </si>
  <si>
    <t>2203/Akswz5/E</t>
  </si>
  <si>
    <t>G 07118</t>
  </si>
  <si>
    <t>https://drive.google.com/open?id=1mp3uCerbHyp2IuCz2jU4hpmA339EJS1Z</t>
  </si>
  <si>
    <t>SPBU 44.543.04 PT. Tawakal Tsani Makmur...</t>
  </si>
  <si>
    <t xml:space="preserve">B21 </t>
  </si>
  <si>
    <t>HEPA 097463</t>
  </si>
  <si>
    <t>https://drive.google.com/open?id=1TBFTWqjf-Q5mXJRgy3aJLNcWOo1dhICZ</t>
  </si>
  <si>
    <t>Bank BSI Kebumen</t>
  </si>
  <si>
    <t>Jl. HM Sarbini 201 A</t>
  </si>
  <si>
    <t>085876458949</t>
  </si>
  <si>
    <t>SHIMADZU</t>
  </si>
  <si>
    <t>UX3200G</t>
  </si>
  <si>
    <t>D461741786</t>
  </si>
  <si>
    <t>3200 g/ 0,01 g</t>
  </si>
  <si>
    <t>https://drive.google.com/open?id=1L-jc1J5LFMdfcQ4XCjR4clElpPum4xh7</t>
  </si>
  <si>
    <t>Chayati</t>
  </si>
  <si>
    <t xml:space="preserve">Kawedusan, Kebumen </t>
  </si>
  <si>
    <t>0882003225955</t>
  </si>
  <si>
    <t>SSS</t>
  </si>
  <si>
    <t xml:space="preserve">Apotek Padureso </t>
  </si>
  <si>
    <t>Jl. Wadaslintang km 17 Pasar pon, Padureso, Kebumen</t>
  </si>
  <si>
    <t>081393921128</t>
  </si>
  <si>
    <t>Acis</t>
  </si>
  <si>
    <t>Bc500</t>
  </si>
  <si>
    <t>C220801736</t>
  </si>
  <si>
    <t>500 g /0,1 g</t>
  </si>
  <si>
    <t>https://drive.google.com/open?id=1IpSWfG6TZrBP0SaxKPudO1sU4wZI8MqV</t>
  </si>
  <si>
    <t xml:space="preserve">Toko Mas Niaga </t>
  </si>
  <si>
    <t>Pasar Wonokriyo Blok F no. 14 Gombong Kebumen</t>
  </si>
  <si>
    <t>082220147807</t>
  </si>
  <si>
    <t>AND</t>
  </si>
  <si>
    <t>HL-100</t>
  </si>
  <si>
    <t>K0003H2110724</t>
  </si>
  <si>
    <t>100 g / 0.01 g</t>
  </si>
  <si>
    <t>Toko Mas Niaga.</t>
  </si>
  <si>
    <t>K0004H804001193</t>
  </si>
  <si>
    <t>Toko Mas Niaga..</t>
  </si>
  <si>
    <t>EK-410i</t>
  </si>
  <si>
    <t>6A4443221</t>
  </si>
  <si>
    <t>400 g / 0.01 g</t>
  </si>
  <si>
    <t>Toko Mas Niaga,</t>
  </si>
  <si>
    <t>Pasar Tumenggungan Blok A 9-10 kebumen</t>
  </si>
  <si>
    <t>HT-120</t>
  </si>
  <si>
    <t>120 g / 0.01 g</t>
  </si>
  <si>
    <t>Toko Mas Niaga,,</t>
  </si>
  <si>
    <t>6A4443254</t>
  </si>
  <si>
    <t>Toko Mas Niaga'</t>
  </si>
  <si>
    <t>Jln Yos Sudarso 331 Gombong</t>
  </si>
  <si>
    <t>Toko Mas Niaga''</t>
  </si>
  <si>
    <t>Toko Mas Niaga'''</t>
  </si>
  <si>
    <t>6A4443222</t>
  </si>
  <si>
    <t>SPBU 43.543.12 PT. Putra Ramadhan</t>
  </si>
  <si>
    <t>Jl. HM Sarbini, Kelurahan Bumirejo, Kecamatan Kebumen, Kabupaten Kebumen</t>
  </si>
  <si>
    <t>085325466920</t>
  </si>
  <si>
    <t>NA1S500</t>
  </si>
  <si>
    <t>EN 00015183</t>
  </si>
  <si>
    <t>60 Lpm / 5 lpm</t>
  </si>
  <si>
    <t>https://drive.google.com/open?id=1he6D8G1_RM0qogQ-3M0fNVOs0PA4uJcn</t>
  </si>
  <si>
    <t>SPBU 43.543.12 PT. Putra Ramadhan.</t>
  </si>
  <si>
    <t>NA2</t>
  </si>
  <si>
    <t>AAEN240478</t>
  </si>
  <si>
    <t>60 lpm / 5 lpm</t>
  </si>
  <si>
    <t>https://drive.google.com/open?id=1_OeWkQ8c51jM9raXvXIgfcsqrF90ufxm</t>
  </si>
  <si>
    <t>SPBU 43.543.12 PT. Putra Ramadhan..</t>
  </si>
  <si>
    <t>MXEN240026</t>
  </si>
  <si>
    <t>https://drive.google.com/open?id=1wznJdK-bAw0v4k7Z7WE2OhDOsJay_K87</t>
  </si>
  <si>
    <t>SPBU 43.543.12 PT. Putra Ramadhan...</t>
  </si>
  <si>
    <t>NA1</t>
  </si>
  <si>
    <t>ABEN273664</t>
  </si>
  <si>
    <t>60 lpm/5lpm</t>
  </si>
  <si>
    <t>https://drive.google.com/open?id=1iUJwd2oR4YoTL5pqS7Ct5uSuVm9CtghP</t>
  </si>
  <si>
    <t>Apotek Pandya 16</t>
  </si>
  <si>
    <t>Jatinegara , Sempor</t>
  </si>
  <si>
    <t>087774582080</t>
  </si>
  <si>
    <t>CHQ</t>
  </si>
  <si>
    <t>DJ602C</t>
  </si>
  <si>
    <t>600 gr/0,01 gr</t>
  </si>
  <si>
    <t>https://drive.google.com/open?id=1JFtZ518exguix0W4t5bL2fkYkGX_cjFa</t>
  </si>
  <si>
    <t>APOTEK TAHER FARMA PETANAHAN</t>
  </si>
  <si>
    <t>Jl. Sokka Petanahan No. 217, Jogomertan, Kec. Petanahan, Kabupaten Kebumen</t>
  </si>
  <si>
    <t>087738517431</t>
  </si>
  <si>
    <t>BC - 5000</t>
  </si>
  <si>
    <t>E2504031124</t>
  </si>
  <si>
    <t>5000 g / 1 g</t>
  </si>
  <si>
    <t>https://drive.google.com/open?id=1lHQRriaGyFUWOWwTdgBW_jrJJEH9LB_t</t>
  </si>
  <si>
    <t>SPBU 44.543.22 (PT. Wahyu Putra Sejati)</t>
  </si>
  <si>
    <t xml:space="preserve">Desa Tambakmulyo, Kecamatan Puring, Kabupaten Kebumen </t>
  </si>
  <si>
    <t>TATSUNO</t>
  </si>
  <si>
    <t>SSB3662</t>
  </si>
  <si>
    <t>AA315408 2022-1</t>
  </si>
  <si>
    <t>65 L/min</t>
  </si>
  <si>
    <t>https://drive.google.com/open?id=1IhJxJsx553ITw9JNq77FH2MY_4RIToPJ</t>
  </si>
  <si>
    <t>SPBU 44.543.10 (CV. Dewi Bulan)</t>
  </si>
  <si>
    <t>Jl. Lingkar Soka, Desa Kewayuhan, Kecamatan Pejagoan, Kabupaten Kebumen</t>
  </si>
  <si>
    <t>GSB 2441P</t>
  </si>
  <si>
    <t>AA 192403 2010-6</t>
  </si>
  <si>
    <t>60 L/min</t>
  </si>
  <si>
    <t>https://drive.google.com/open?id=1_yP5vWr6nqx0erMdq021Q8f736t8Fnzr</t>
  </si>
  <si>
    <t>SPBU 44.543.10 (CV. Dewi Bulan),</t>
  </si>
  <si>
    <t xml:space="preserve">TATSUNO </t>
  </si>
  <si>
    <t>AA 199109 2011-3</t>
  </si>
  <si>
    <t>https://drive.google.com/open?id=1zJU6lfy5LgaFy4U-lmHH-8o31eC-LyLH</t>
  </si>
  <si>
    <t>SPBU 44.543.10 (CV. Dewi Bulan),,</t>
  </si>
  <si>
    <t>GSA 1221</t>
  </si>
  <si>
    <t>AA 166702 2007-10</t>
  </si>
  <si>
    <t>https://drive.google.com/open?id=1WWhc_LYSYyH6GsKAQrOmp4P4FFVtChCj</t>
  </si>
  <si>
    <t>SPBU 44.543.10 (CV. Dewi Bulan),,,</t>
  </si>
  <si>
    <t>AA 185772 2009-9</t>
  </si>
  <si>
    <t>https://drive.google.com/open?id=1cpoGEfiPqxhjBkKo4ihewQ5f_cOFaxae</t>
  </si>
  <si>
    <t xml:space="preserve">Indah Logistik Cargo </t>
  </si>
  <si>
    <t>Adikarso</t>
  </si>
  <si>
    <t>081113201322</t>
  </si>
  <si>
    <t>Timbangan Pegas</t>
  </si>
  <si>
    <t>NHON HOA</t>
  </si>
  <si>
    <t xml:space="preserve">NHS 100 </t>
  </si>
  <si>
    <t xml:space="preserve">100 kg / 200 g </t>
  </si>
  <si>
    <t>https://drive.google.com/open?id=1G28eFl8bO_PLSaeZ7_nVXTplfDJ5NrTK</t>
  </si>
  <si>
    <t>Toko Mas Niaga Kebumen</t>
  </si>
  <si>
    <t>Pasar Tumenggungan Blok A 9-10 Kebumen</t>
  </si>
  <si>
    <t>081908005490</t>
  </si>
  <si>
    <t>120 G</t>
  </si>
  <si>
    <t>Toko Mas Niaga Kebumen,</t>
  </si>
  <si>
    <t>HT120</t>
  </si>
  <si>
    <t>Toko Mas Niaga Kebumen,,</t>
  </si>
  <si>
    <t>EK-410I</t>
  </si>
  <si>
    <t>400 G</t>
  </si>
  <si>
    <t>Toko Mas Niaga Gombong</t>
  </si>
  <si>
    <t>Ruko Pasar Wonokriyo Blok F No. 14 Gombong</t>
  </si>
  <si>
    <t>Toko Mas Niaga Gombong,</t>
  </si>
  <si>
    <t>Toko Mas Niaga Gombong,,</t>
  </si>
  <si>
    <t>Toko Mas Niaga Gombong.</t>
  </si>
  <si>
    <t>Jl. Yos Sudarso 331 Gombong</t>
  </si>
  <si>
    <t>Toko Mas Niaga Gombong..</t>
  </si>
  <si>
    <t>6A4443253</t>
  </si>
  <si>
    <t>Toko Mas Niaga Gombong...</t>
  </si>
  <si>
    <t>PT GIRI SELOMAS SEJAHTERA</t>
  </si>
  <si>
    <t>Jl. Raya Yos Sudarso Gombong Barat Km.3 Purbowangi Kab. Kebumen</t>
  </si>
  <si>
    <t>085879243604</t>
  </si>
  <si>
    <t>Great Scale</t>
  </si>
  <si>
    <t>XK-3190A7</t>
  </si>
  <si>
    <t>40kg/0,001</t>
  </si>
  <si>
    <t>PT GIRI SELOMAS SEJAHTERA,</t>
  </si>
  <si>
    <t>TJ</t>
  </si>
  <si>
    <t>20 kg</t>
  </si>
  <si>
    <t>PT GIRI SELOMAS SEJAHTERA,,</t>
  </si>
  <si>
    <t>5 kg</t>
  </si>
  <si>
    <t>PT GIRI SELOMAS SEJAHTERA,,,</t>
  </si>
  <si>
    <t>PT.Giga Intrax</t>
  </si>
  <si>
    <t>Jl. Raya Karanganyar km.98 , Kecamatan Karanganyar, Kabupaten Kebumen</t>
  </si>
  <si>
    <t>081380487882</t>
  </si>
  <si>
    <t>Digitech</t>
  </si>
  <si>
    <t>DB IS</t>
  </si>
  <si>
    <t>DB25089126</t>
  </si>
  <si>
    <t>40 kg / 0,002 kg</t>
  </si>
  <si>
    <t>SPBU 43.543.13 PT. Aneka Bangun Sarana</t>
  </si>
  <si>
    <t>Jl. Raya Kutoarjo km 07, Desa Kalibagor, Kecamatan Kebumen,Kabupaten Kebumen</t>
  </si>
  <si>
    <t>3/V390D1/GPZ5/E</t>
  </si>
  <si>
    <t>29403C A-13</t>
  </si>
  <si>
    <t>60 L/m</t>
  </si>
  <si>
    <t>SPBU 43.543.13 PT. Aneka Bangun Sarana,</t>
  </si>
  <si>
    <t>29763C A-13</t>
  </si>
  <si>
    <t>SPBU 43.543.13 PT. Aneka Bangun Sarana,,</t>
  </si>
  <si>
    <t>29731C A-13</t>
  </si>
  <si>
    <t xml:space="preserve">INDAH LOGISTIK KEBUMEN </t>
  </si>
  <si>
    <t>Jl. Lkr. Selatan, Ketraman, Adikarso, Kec. Kebumen, Kabupaten Kebumen, Jawa Tengah 54312</t>
  </si>
  <si>
    <t>NHS100</t>
  </si>
  <si>
    <t>SPPBE PT. GIGA INTRAX</t>
  </si>
  <si>
    <t>Jl. Raya Karanganyar km 98, Kecamatan Karanganyar, Kabupaten Kebumen</t>
  </si>
  <si>
    <t>DB-1S-150</t>
  </si>
  <si>
    <t>DB24128044</t>
  </si>
  <si>
    <t>SPBU 44.543.07</t>
  </si>
  <si>
    <t>Jl. Tentara Pelajar No. 55, Desa Kawedusan, Kecamatan Kebumen, Kabupaten Kebumen</t>
  </si>
  <si>
    <t>SSA 1222</t>
  </si>
  <si>
    <t>AA219923 2013-1</t>
  </si>
  <si>
    <t>https://drive.google.com/open?id=19muT8gyOzQ5ThAbKDSA4vscp3E2lRTGV</t>
  </si>
  <si>
    <t>SPBU 44.543.07.</t>
  </si>
  <si>
    <t>Jl. Tentara Pelajar No.55, Desa Kawedusan, Kecamatan Kebumen, Kabupaten Kebumen</t>
  </si>
  <si>
    <t>AA194570 2010-9</t>
  </si>
  <si>
    <t>https://drive.google.com/open?id=1bwEfwkfq0YUi2vAZSCa4_YEHEtqg668F</t>
  </si>
  <si>
    <t>SPBU 44.543.07..</t>
  </si>
  <si>
    <t>GSA 2441</t>
  </si>
  <si>
    <t>AA164079 2007-7</t>
  </si>
  <si>
    <t>https://drive.google.com/open?id=1E-cqeJGiVHtKmOUDescKfKtMTc_l2bIM</t>
  </si>
  <si>
    <t>SPBU 44.543.07...</t>
  </si>
  <si>
    <t>GILBARCO</t>
  </si>
  <si>
    <t>HEPA 096522</t>
  </si>
  <si>
    <t>50 L/m</t>
  </si>
  <si>
    <t>https://drive.google.com/open?id=16SNBwAZSJq39s8BRM54gmyne2TJ2BpyA</t>
  </si>
  <si>
    <t>Apotik Mitra Bunda</t>
  </si>
  <si>
    <t xml:space="preserve">Setrojenar RT 1 RW 3 Buluspesantren Kebumen </t>
  </si>
  <si>
    <t>087737755179</t>
  </si>
  <si>
    <t>Neraca Obat</t>
  </si>
  <si>
    <t>PGB</t>
  </si>
  <si>
    <t>50 g / 25 mg</t>
  </si>
  <si>
    <t>SPBU 44.543.03 UD GIAT SABA</t>
  </si>
  <si>
    <t>Jl. Hashim Asyari Km 2, kelurahan panjer, kabupaten kebumen</t>
  </si>
  <si>
    <t>085292438942</t>
  </si>
  <si>
    <t>Korea Ene</t>
  </si>
  <si>
    <t>MT 2 S</t>
  </si>
  <si>
    <t>EO 6630, EO 6631</t>
  </si>
  <si>
    <t>Milli</t>
  </si>
  <si>
    <t>M150</t>
  </si>
  <si>
    <t>Xx</t>
  </si>
  <si>
    <t>Korea EnE</t>
  </si>
  <si>
    <t>MT 6 S</t>
  </si>
  <si>
    <t>EO 8553, EO 8555, EO 8557</t>
  </si>
  <si>
    <t>SPPBE PT. GIGA INTRAX,</t>
  </si>
  <si>
    <t>DB-1S</t>
  </si>
  <si>
    <t>80 kg / 1 g</t>
  </si>
  <si>
    <t>SPBU 44.543.03 UD GIAT SABA,</t>
  </si>
  <si>
    <t xml:space="preserve"> MT 4 S</t>
  </si>
  <si>
    <t>EO 7574, EO 7575</t>
  </si>
  <si>
    <t>SPBU 44.543.03 UD GIAT SABA,,</t>
  </si>
  <si>
    <t>MT 4 S</t>
  </si>
  <si>
    <t>EO 7373</t>
  </si>
  <si>
    <t>Apotek Harum</t>
  </si>
  <si>
    <t>Sarwogadung RT 2 RW 1, Kecamatan Mirit, Kabupaten Kebumen</t>
  </si>
  <si>
    <t>085727281777</t>
  </si>
  <si>
    <t>500 g / 250 mg</t>
  </si>
  <si>
    <t>https://drive.google.com/open?id=15dMfV1isi8My6q8Qsr_WAxkkCUDV8VqA</t>
  </si>
  <si>
    <t xml:space="preserve">PT Naga Semut Kebumen </t>
  </si>
  <si>
    <t xml:space="preserve">Jalan Indrakila no.32 Kebumen </t>
  </si>
  <si>
    <t>085747210485</t>
  </si>
  <si>
    <t xml:space="preserve">AW-x 3 </t>
  </si>
  <si>
    <t>F804049027</t>
  </si>
  <si>
    <t>3 Kg / 0.2 g</t>
  </si>
  <si>
    <t>SPBU 44.543.08 Ungaran</t>
  </si>
  <si>
    <t>Jl. Raya Kutowinangun, Desa Ungaran, Kecamatan Kutowinangun, Kabupaten Kebumen</t>
  </si>
  <si>
    <t xml:space="preserve">GILBARCO </t>
  </si>
  <si>
    <t>BKPA 223463</t>
  </si>
  <si>
    <t>SPBU 44.543.08 Ungaran,</t>
  </si>
  <si>
    <t>F230</t>
  </si>
  <si>
    <t>202006000343-4DPE</t>
  </si>
  <si>
    <t>SPBU 44.543.08 Ungaran,,</t>
  </si>
  <si>
    <t>FKPA 228627</t>
  </si>
  <si>
    <t>SPBU 44.543.08 Ungaran,,,</t>
  </si>
  <si>
    <t>JEA200</t>
  </si>
  <si>
    <t>01300010</t>
  </si>
  <si>
    <t>SPBE PT. Mitra Prasmitha Selaras</t>
  </si>
  <si>
    <t>Jl. Lingkar Selatan Kebumen, Desa Kuwayuhan, Kecamatan Pejagoan, Kabupaten Kebumen</t>
  </si>
  <si>
    <t>DIGITECH</t>
  </si>
  <si>
    <t>DB 24128070</t>
  </si>
  <si>
    <t>30 kg / 0,001 kg</t>
  </si>
  <si>
    <t>SPBE PT. Mitra Prasmitha Selaras,</t>
  </si>
  <si>
    <t>SPBE PT. Mitra Prasmitha Selaras,,</t>
  </si>
  <si>
    <t>171020011T</t>
  </si>
  <si>
    <t>SPBE PT. Mitra Prasmitha Selaras,,,</t>
  </si>
  <si>
    <t xml:space="preserve">DIGITECH </t>
  </si>
  <si>
    <t>DB 24128041</t>
  </si>
  <si>
    <t>80 kg / 0,001 kg</t>
  </si>
  <si>
    <t>SPBE PT. Mitra Prasmitha Selaras.</t>
  </si>
  <si>
    <t>A12E-150</t>
  </si>
  <si>
    <t>IMI24080304</t>
  </si>
  <si>
    <t>SPBE PT. Mitra Prasmitha Selaras..</t>
  </si>
  <si>
    <t>IMI24080301</t>
  </si>
  <si>
    <t>SPBE PT. Mitra Prasmitha Selaras'</t>
  </si>
  <si>
    <t>DL4</t>
  </si>
  <si>
    <t>SPBE PT. Mitra Prasmitha Selaras''</t>
  </si>
  <si>
    <t>10 kg</t>
  </si>
  <si>
    <t>Apotek Sehat Alam</t>
  </si>
  <si>
    <t>Jl. Yos Sudarso No.510 RT08, RW.03, Klapasawit, Wero, Kec. Gombong, Kabupaten Kebumen, Jawa Tengah 54416</t>
  </si>
  <si>
    <t>087737888779</t>
  </si>
  <si>
    <t>Mercurry</t>
  </si>
  <si>
    <t>SPBU 44.543.09</t>
  </si>
  <si>
    <t xml:space="preserve">Jl. Lingkar selatan Kebumen, Kelurahan Tamanwinangun, Kecamatan Kebumen, Kabupaten Kebumen </t>
  </si>
  <si>
    <t>085225492423</t>
  </si>
  <si>
    <t xml:space="preserve">GSB 3641 P </t>
  </si>
  <si>
    <t>192317 2010-6</t>
  </si>
  <si>
    <t>SPBU 44.543.09,</t>
  </si>
  <si>
    <t>SSB 3664</t>
  </si>
  <si>
    <t>AA 248579 2015-9</t>
  </si>
  <si>
    <t>65 L/m</t>
  </si>
  <si>
    <t>SPBU 44.543.09,,</t>
  </si>
  <si>
    <t xml:space="preserve">SSB 2442 </t>
  </si>
  <si>
    <t xml:space="preserve">AA 233399 2014-3 </t>
  </si>
  <si>
    <t>SPBU 44.543.09,,,</t>
  </si>
  <si>
    <t xml:space="preserve">GSA 2441 </t>
  </si>
  <si>
    <t xml:space="preserve">AA 158957 2007-1 </t>
  </si>
  <si>
    <t xml:space="preserve">SPBU 44.543.21 </t>
  </si>
  <si>
    <t>Jl. Jalur Pantai Selatan, Desa Tegalretno, Kecamatan Petanahan, Kabupaten Kebumen</t>
  </si>
  <si>
    <t>082143665635</t>
  </si>
  <si>
    <t>SSA 2442</t>
  </si>
  <si>
    <t>AA308024 2021-4</t>
  </si>
  <si>
    <t>65L/min</t>
  </si>
  <si>
    <t>SPBU 44.543.21,</t>
  </si>
  <si>
    <t>AA309662 2021-6</t>
  </si>
  <si>
    <t>SPBU 44.543.21,,</t>
  </si>
  <si>
    <t>AA309669 2021-6</t>
  </si>
  <si>
    <t>SPBU 44.543.21,,,</t>
  </si>
  <si>
    <t>AA309657 2021-6</t>
  </si>
  <si>
    <t>Apotek Khazanah</t>
  </si>
  <si>
    <t>Dukuh Jerotengah RT 02 RW 03, Desa Banyumudal, Kecamatan Buayan, Kabupaten Kebumen</t>
  </si>
  <si>
    <t>081999299938</t>
  </si>
  <si>
    <t>Bc 500</t>
  </si>
  <si>
    <t>E241203203</t>
  </si>
  <si>
    <t>https://drive.google.com/open?id=1NjpSY4bxK-B8U-P2L1IMs_QuBuob8ldU</t>
  </si>
  <si>
    <t xml:space="preserve">SPBU 44.543.20 (PT. Anugerah Baru Group) </t>
  </si>
  <si>
    <t>Jl. Raya Mirit, Desa Tlogopragoto, Kecamatan Mirit, Kabupaten Kebumen</t>
  </si>
  <si>
    <t>AA 304943 2020-12</t>
  </si>
  <si>
    <t>https://drive.google.com/open?id=192zj_xdHyyI6uodD7UeR2pjTkJE-Qzqk</t>
  </si>
  <si>
    <t>SPBU 44.543.20 (PT. Anugerah Baru Group).</t>
  </si>
  <si>
    <t>AA 304946 2020-12</t>
  </si>
  <si>
    <t>https://drive.google.com/open?id=1DmNVmzN_hTLh0_NuocEChWVyqDmM1Hfp</t>
  </si>
  <si>
    <t>SPBU 44.543.20 (PT. Anugerah Baru Group)..</t>
  </si>
  <si>
    <t>AA 304965 2020-12</t>
  </si>
  <si>
    <t>https://drive.google.com/open?id=1FMQWSOKN0gLy714VmRrQ6NcPCai15Zw6</t>
  </si>
  <si>
    <t>SPBU 44.543.20 (PT. Anugerah Baru Group)...</t>
  </si>
  <si>
    <t>AA 304957 2020-12</t>
  </si>
  <si>
    <t>https://drive.google.com/open?id=1qva0-Rtfq5D7-orWpwKjfkq4snXaxKtP</t>
  </si>
  <si>
    <t xml:space="preserve">RS PKU Muhammadiyah Petanahan </t>
  </si>
  <si>
    <t xml:space="preserve">Jl. Daendels KM 1, Petanahan, Kebumen, Jawa Tengah </t>
  </si>
  <si>
    <t>085729951472</t>
  </si>
  <si>
    <t>50 g/25 mg</t>
  </si>
  <si>
    <t>https://drive.google.com/open?id=12rNLQBzMWga0N9LtajSzQJZ00naSBdXU</t>
  </si>
  <si>
    <t>SPBU 44.543.17</t>
  </si>
  <si>
    <t>Jl. Raya Prembun Timur km 3, Desa Tunggal Roso, Kecamatan Prembun, Kabupaten Kebumen</t>
  </si>
  <si>
    <t>TOMINAGA</t>
  </si>
  <si>
    <t>HAXC 4442</t>
  </si>
  <si>
    <t>5496-99</t>
  </si>
  <si>
    <t>40 L/min</t>
  </si>
  <si>
    <t>SPBU 44.543.17,</t>
  </si>
  <si>
    <t>HIXC 4242</t>
  </si>
  <si>
    <t>5508-11</t>
  </si>
  <si>
    <t>SPBU 44.543.17,,</t>
  </si>
  <si>
    <t>6217-20</t>
  </si>
  <si>
    <t>Apotek Luk Ulo 3 Petanahan</t>
  </si>
  <si>
    <t>Jl. Raya Guyangan, RT. 04/RW. 01, Kecamatan Petanahan, Kabupaten Kebumen</t>
  </si>
  <si>
    <t>085225694795</t>
  </si>
  <si>
    <t>BC 5000</t>
  </si>
  <si>
    <t>E2504030699</t>
  </si>
  <si>
    <t>Toko Mas Sami</t>
  </si>
  <si>
    <t>Jl. Dr. Wahidin No. 94 Kutowinangun, Kecamatan Kutowinangun, Kabupaten Kebumen</t>
  </si>
  <si>
    <t>082142579707</t>
  </si>
  <si>
    <t>GF-3000</t>
  </si>
  <si>
    <t>T0364188</t>
  </si>
  <si>
    <t>3100 g / 0,1 g</t>
  </si>
  <si>
    <t>Toko Mas Sami,</t>
  </si>
  <si>
    <t xml:space="preserve">SPBU 43.543.16 </t>
  </si>
  <si>
    <t>Jl. Guyangan Km. 01, Desa Petanahan, Kecamatan Petanahan, Kabupaten Kebumen</t>
  </si>
  <si>
    <t>NA 2</t>
  </si>
  <si>
    <t>MDEN 365870</t>
  </si>
  <si>
    <t>SPBU 43.543.16,</t>
  </si>
  <si>
    <t>MDEN 365865</t>
  </si>
  <si>
    <t>SPBU 43.543.16,,</t>
  </si>
  <si>
    <t>MDEN 338132</t>
  </si>
  <si>
    <t>SPBU 44.543.03 (Primkopti Kebumen)</t>
  </si>
  <si>
    <t>Jl. Raya Prembun, Desa Tersobo, Kecamatan Prembun, Kabupaten Kebumen</t>
  </si>
  <si>
    <t>EDAT 2222 AJ-N</t>
  </si>
  <si>
    <t>AA 092823 2000-8</t>
  </si>
  <si>
    <t>https://drive.google.com/open?id=1tuw1cgzol3ZtmVvLGbq2TETA53TFeh2l</t>
  </si>
  <si>
    <t>SPBU 44.543.03 (Primkopti Kebumen),</t>
  </si>
  <si>
    <t>GSB 3621</t>
  </si>
  <si>
    <t>AA 163921</t>
  </si>
  <si>
    <t>https://drive.google.com/open?id=1Y2dNN_YQCIYJv4DMBolcvI6xGEoPfSxJ</t>
  </si>
  <si>
    <t>SPBU 44.543.03 (Primkopti Kebumen),,</t>
  </si>
  <si>
    <t xml:space="preserve">B31 </t>
  </si>
  <si>
    <t>KEPA 100903</t>
  </si>
  <si>
    <t>https://drive.google.com/open?id=1DCWi-6iQpHYSBWe-kuLEj3781iaTPRNo</t>
  </si>
  <si>
    <t>Pertashop 4P.543.32</t>
  </si>
  <si>
    <t>Desa Sadang Kulon, Kecamatan Sadang, Kabupaten Kebumen</t>
  </si>
  <si>
    <t>SANKI</t>
  </si>
  <si>
    <t>10ZF111A</t>
  </si>
  <si>
    <t>1110AW214120</t>
  </si>
  <si>
    <t>50 L/min</t>
  </si>
  <si>
    <t>SPBU 44.543.18</t>
  </si>
  <si>
    <t>Jl. Ronggowarsito No. 3 Legok Lor, Desa Pejagoan, Kecamatan Pejagoan, Kabupaten Kebumen</t>
  </si>
  <si>
    <t>SSB 2442</t>
  </si>
  <si>
    <t>AA 298700</t>
  </si>
  <si>
    <t>SPBU 44.543.18,</t>
  </si>
  <si>
    <t>SSB 3662</t>
  </si>
  <si>
    <t>AA 297485</t>
  </si>
  <si>
    <t>SPBU 44.543.18,,</t>
  </si>
  <si>
    <t>AA 297479</t>
  </si>
  <si>
    <t xml:space="preserve">SPBU 44.543.19 PT. Serayu Inti Perdana </t>
  </si>
  <si>
    <t xml:space="preserve">Jl. Kejayan RT 02 RW 02, Desa Bocor, Kecamatan Buluspesantren, Kabupaten Kebumen </t>
  </si>
  <si>
    <t>085228438015</t>
  </si>
  <si>
    <t>AA 298696 2020-2</t>
  </si>
  <si>
    <t>SPBU 44.543.19 PT. Serayu Inti Perdana.</t>
  </si>
  <si>
    <t xml:space="preserve">TATSUNO  </t>
  </si>
  <si>
    <t xml:space="preserve">AA 297484 2020-2 </t>
  </si>
  <si>
    <t>65L/m</t>
  </si>
  <si>
    <t>SPBU 44.543.19 PT. Serayu Inti Perdana..</t>
  </si>
  <si>
    <t xml:space="preserve">TATSUNO   </t>
  </si>
  <si>
    <t>AA 297481 2020-2</t>
  </si>
  <si>
    <t>PT. Sari Buana</t>
  </si>
  <si>
    <t>Jl. Tentara Pelajar No. 10 Karanganyar Kabupaten Kebumen</t>
  </si>
  <si>
    <t>082226352760</t>
  </si>
  <si>
    <t>XK 3190A7</t>
  </si>
  <si>
    <t>A1E02011017</t>
  </si>
  <si>
    <t>75 kg/10 g</t>
  </si>
  <si>
    <t>Apotek Pramudya</t>
  </si>
  <si>
    <t>Jl. Raya Sokka-Petanahan RT. 04/RW.02, Kedawung, Pejagoan, Kebumen</t>
  </si>
  <si>
    <t>081325257377</t>
  </si>
  <si>
    <t>50 g/5 mg</t>
  </si>
  <si>
    <t>https://drive.google.com/open?id=1lY4MbjmWWY9jndfKIm7rwzzhDmX0Qt5U</t>
  </si>
  <si>
    <t>SPBU 44.543.04 (PT. Tawakal Tsani Makmur)</t>
  </si>
  <si>
    <t>Jl. Yos Sudarso No. 122, Desa Wero, Kecamatan Gombong, Kabupaten Kebumen</t>
  </si>
  <si>
    <t>B 21</t>
  </si>
  <si>
    <t>https://drive.google.com/open?id=1HwZVaPT1Gg7t7SRl5IkIZQGn3cwaIJww</t>
  </si>
  <si>
    <t>SPBU 44.544.02 (CV. Asri Citra Buana)</t>
  </si>
  <si>
    <t>Jl. Raya Karanganyar - Gombong, Desa Kedungpuji, Kecamatan Gombong, Kabupaten Gombong</t>
  </si>
  <si>
    <t>AA 161715 2007-4</t>
  </si>
  <si>
    <t>SPBU 44.544.02 (CV. Asri Citra Buana),</t>
  </si>
  <si>
    <t>AA 161714 2007-4</t>
  </si>
  <si>
    <t>SPBU 44.544.02 (CV. Asri Citra Buana),,</t>
  </si>
  <si>
    <t>ADAT 2222-HP</t>
  </si>
  <si>
    <t>AA 048094 95-10</t>
  </si>
  <si>
    <t>SPBU 44.544.02 (CV. Asri Citra Buana),,,</t>
  </si>
  <si>
    <t>AA 161705 2007-4</t>
  </si>
  <si>
    <t>SPBU 44.544.02 (CV. Asri Citra Buana),,,,</t>
  </si>
  <si>
    <t>AA 161706 2007-4</t>
  </si>
  <si>
    <t>Toko Mas Niaga</t>
  </si>
  <si>
    <t>Jl Yos Sudarso 331 Gombong</t>
  </si>
  <si>
    <t>120g x 0.01g</t>
  </si>
  <si>
    <t>SPBU 44.543.14 (PT. Bumi Persada Utama Mandiri)</t>
  </si>
  <si>
    <t>Jl. Raya Jatijajar km 5 Desa Rowokele, Kecamatan Rowokele, Kabupaten Kebumen</t>
  </si>
  <si>
    <t>SSB 2444</t>
  </si>
  <si>
    <t>AA 225653 2013-6</t>
  </si>
  <si>
    <t>SPBU 44.543.14 (PT. Bumi Persada Utama Mandiri),</t>
  </si>
  <si>
    <t>AA 243365 2015-3</t>
  </si>
  <si>
    <t>SPBU 44.544.02 KEDUNGPUJI</t>
  </si>
  <si>
    <t xml:space="preserve">Jl. Raya Gombong - Kebumen, Ds. Kedungpuji, Kecamatan Gombong, Kabupaten Kebumen </t>
  </si>
  <si>
    <t>60 L/min Pertalite</t>
  </si>
  <si>
    <t>SPBU 44.544.02 KEDUNGPUJI,</t>
  </si>
  <si>
    <t>60 L/min Pertamax</t>
  </si>
  <si>
    <t>SPBU 44.543.11 Kalitengah</t>
  </si>
  <si>
    <t>Jl. Puring No.Km. 3, Pekiringan, Kalitengah, Kec. Gombong, Kabupaten Kebumen</t>
  </si>
  <si>
    <t>KOREA EnE</t>
  </si>
  <si>
    <t>MT 4S</t>
  </si>
  <si>
    <t>EO-7384, EO-7385, EO-7386</t>
  </si>
  <si>
    <t>45 L/min</t>
  </si>
  <si>
    <t>SPBU 44.543.11 Kalitengah,</t>
  </si>
  <si>
    <t>EO-7889, EO-7890, EO-7891, EO-7892</t>
  </si>
  <si>
    <t>SPBU 44.543.11 Kalitengah,,</t>
  </si>
  <si>
    <t>HEPA 097764</t>
  </si>
  <si>
    <t xml:space="preserve">SPBU 44.544.01 PT. HARMONI MITRA ENERGI   </t>
  </si>
  <si>
    <t>Jl. Raya Gombong Km 05, Desa Jatiroto, Kecamatan Buayan, Kabupaten Kebumen</t>
  </si>
  <si>
    <t>GDA 2222</t>
  </si>
  <si>
    <t>AA162154 2007-5</t>
  </si>
  <si>
    <t>60 L/Min</t>
  </si>
  <si>
    <t>SPBU 44.544.01 PT. HARMONI MITRA ENERGI,</t>
  </si>
  <si>
    <t>AA330471 2023-11</t>
  </si>
  <si>
    <t>65 L/Min</t>
  </si>
  <si>
    <t>SPBU 44.544.01 PT. HARMONI MITRA ENERGI,,</t>
  </si>
  <si>
    <t xml:space="preserve">TOMINAGA   </t>
  </si>
  <si>
    <t>HIXC 4442</t>
  </si>
  <si>
    <t>H 2088-91</t>
  </si>
  <si>
    <t>40 L/Min</t>
  </si>
  <si>
    <t>SPBU 44.544.01 PT. HARMONI MITRA ENERGI,,,</t>
  </si>
  <si>
    <t>GDA 2221</t>
  </si>
  <si>
    <t xml:space="preserve">AA141804 2005-10 </t>
  </si>
  <si>
    <t>CV. Tunggal Jaya</t>
  </si>
  <si>
    <t>Desa Kalitengah RT 02 RW 06, Kecamatan Gombong, Kabupaten Kebumen</t>
  </si>
  <si>
    <t>XK3190-A7</t>
  </si>
  <si>
    <t>AA05081127</t>
  </si>
  <si>
    <t xml:space="preserve">150 kg / 20 g </t>
  </si>
  <si>
    <t>SPBU 44.544.03 (PT. Sinar Makmur Energi)</t>
  </si>
  <si>
    <t>Jl. Tentara Pelajar No. 168 Desa Semanding RT 04 RW 07, Kecamatan Gombong, Kabupaten Kebumen</t>
  </si>
  <si>
    <t>AA 233263 2014-2</t>
  </si>
  <si>
    <t>SPBU 44.544.03 (PT. Sinar Makmur Energi),</t>
  </si>
  <si>
    <t>AA 277872 2018-6</t>
  </si>
  <si>
    <t>SPBU 44.544.03 (PT. Sinar Makmur Energi),,</t>
  </si>
  <si>
    <t>AA 279116 2018-8</t>
  </si>
  <si>
    <t>SPBU 44.543.01 (PT. Candisari Mitra Energi)</t>
  </si>
  <si>
    <t>Jl. Raya Karanganyar Timur km. 02,  Desa Candi, Kecamatan Karanganyar, Kabupaten Kebumen</t>
  </si>
  <si>
    <t>GDA 2442</t>
  </si>
  <si>
    <t>AA 150554 2006-8</t>
  </si>
  <si>
    <t>SPBU 44.543.01 (PT. Candisari Mitra Energi),</t>
  </si>
  <si>
    <t>GSA 2221</t>
  </si>
  <si>
    <t>AA 153134 2006-8</t>
  </si>
  <si>
    <t>SPBU 44.543.01 (PT. Candisari Mitra Energi),,</t>
  </si>
  <si>
    <t>AA 158900 2007-1</t>
  </si>
  <si>
    <t>SPBU 44.543.01 (PT. Candisari Mitra Energi),,,</t>
  </si>
  <si>
    <t xml:space="preserve">HIXC 4242 </t>
  </si>
  <si>
    <t>H 3261-64</t>
  </si>
  <si>
    <t xml:space="preserve">40L/min </t>
  </si>
  <si>
    <t>Apotek Pas Sehat</t>
  </si>
  <si>
    <t>Desa Sitiadi RT 01/ RW 01, Kecamatan Puring, Kabupaten Kebumen</t>
  </si>
  <si>
    <t>0882006202666</t>
  </si>
  <si>
    <t xml:space="preserve">SNS </t>
  </si>
  <si>
    <t>SPBU 43.543.16 (PT. Anugerah Baru Group)</t>
  </si>
  <si>
    <t>Jl. Guyangan km.1, Desa Petanahan, Kecamatan Petanahan, Kabupaten Kebumen</t>
  </si>
  <si>
    <t>AA 343847 2025-8</t>
  </si>
  <si>
    <t>PT. DINAMIKA LOGISTINDO INDONESIA</t>
  </si>
  <si>
    <t>Jl Tentara Pelajar No 51 Kebumen</t>
  </si>
  <si>
    <t>087728685469</t>
  </si>
  <si>
    <t>Karya Sentosa</t>
  </si>
  <si>
    <t>150 kg / 100 g</t>
  </si>
  <si>
    <t>PT. Giri Selomas Sejahtera</t>
  </si>
  <si>
    <t>Jl. Raya Gombong Barat km 3 Purbowangi, Kecamatan Buayan, Kabupaten Kebumen</t>
  </si>
  <si>
    <t>DB24128068</t>
  </si>
  <si>
    <t>PT. Giri Selomas Sejahtera,</t>
  </si>
  <si>
    <t>DB24128046</t>
  </si>
  <si>
    <t>SPBUN 48.544.01 Logending</t>
  </si>
  <si>
    <t>Desa Logending, Kecamatan Ayah, Kabupaten Kebumen</t>
  </si>
  <si>
    <t>PSA 22221</t>
  </si>
  <si>
    <t>EX-E-19100618</t>
  </si>
  <si>
    <t>SPBUN 48.543.04 (Koperasi LEPP-M3 "Mina Tri Utama")</t>
  </si>
  <si>
    <t>Desa Ayah, Kecamatan Ayah, Kabupaten Kebumen</t>
  </si>
  <si>
    <t>GSA 220210JMBDT000000-E</t>
  </si>
  <si>
    <t>AA 114128 2002-12</t>
  </si>
  <si>
    <t>SPBUN 48.543.04 (Koperasi LEPP-M3 "Mina Tri Utama"),</t>
  </si>
  <si>
    <t>AA 114134 2002-12</t>
  </si>
  <si>
    <t>SPBU 43.543.15</t>
  </si>
  <si>
    <t xml:space="preserve">Jl. Raya Sruweng km 7, Desa Sruweng, Kecamatan Sruweng, Kabupaten Kebumen </t>
  </si>
  <si>
    <t>089674499499</t>
  </si>
  <si>
    <t xml:space="preserve">SSB 3664 </t>
  </si>
  <si>
    <t>AA 256762 2016-7</t>
  </si>
  <si>
    <t>SPBU 43.543.15,</t>
  </si>
  <si>
    <t>AA 256673</t>
  </si>
  <si>
    <t>SPBU 43.543.15,,</t>
  </si>
  <si>
    <t>AA 256674 2016-7</t>
  </si>
  <si>
    <t>SPBU 43.543.15,,,</t>
  </si>
  <si>
    <t>AA 256749 2016-7</t>
  </si>
  <si>
    <t>SPBU 43.543.15,,,,</t>
  </si>
  <si>
    <t>AA 256623 2016-7</t>
  </si>
  <si>
    <t>60L/min</t>
  </si>
  <si>
    <t xml:space="preserve">SPBU 44.543.23 (PT. Bunga Alam Persada) </t>
  </si>
  <si>
    <t>Jl. Raya Sokka No. 117, Desa Kedawung, Kecamatan Pejagoan, Kabupaten Kebumen</t>
  </si>
  <si>
    <t>AA 325468 2023-4</t>
  </si>
  <si>
    <t xml:space="preserve">SPBU 44.543.23 (PT. Bunga Alam Persada), </t>
  </si>
  <si>
    <t>G</t>
  </si>
  <si>
    <t>AA 323351 2023-1</t>
  </si>
  <si>
    <t>SPBU 44.543.23 (PT. Bunga Alam Persada),,</t>
  </si>
  <si>
    <t>AA 325466 2023-4</t>
  </si>
  <si>
    <t>AA 325471 2023-4</t>
  </si>
  <si>
    <t>PT Giri selomas sejahtera2</t>
  </si>
  <si>
    <t>Jl. Raya Gombong barat km. 3 purbowangi kebumen</t>
  </si>
  <si>
    <t>DB25098156</t>
  </si>
  <si>
    <t>60 kg / 0,001 g</t>
  </si>
  <si>
    <t>PT Giri selomas sejahtera1</t>
  </si>
  <si>
    <t>DB25098152</t>
  </si>
  <si>
    <t>60 kg / 0,001 kg</t>
  </si>
  <si>
    <t>https://drive.google.com/open?id=1y7HzXH8huT70fcbH9WYuNy5uXdbAg2pe</t>
  </si>
  <si>
    <t>Apotek Sruni Farma</t>
  </si>
  <si>
    <t>Bojongsari RT 02 RW01 Kec. Alian, Kab. Kebumen</t>
  </si>
  <si>
    <t>081393432121</t>
  </si>
  <si>
    <t>APM</t>
  </si>
  <si>
    <t>https://drive.google.com/open?id=1kuLU8q8g5Qu28hHiQrKlaXI1HLoznT5C</t>
  </si>
  <si>
    <t>Apotek Sruni Farma.</t>
  </si>
  <si>
    <t>Bojongsari RT03 RW01 Kec. Alian, Kab. Kebumen</t>
  </si>
  <si>
    <t>https://drive.google.com/open?id=1FFvdNw8P-DIAW1vflmcGbtfjqnM0YOKi</t>
  </si>
  <si>
    <t>PT. DINAMIKA LOGISTINDO INDONESIA,</t>
  </si>
  <si>
    <t>Jl. Raya wangon lumbir km 5 Desa Adilingga kec Wangon Kecamatan Banyumas</t>
  </si>
  <si>
    <t>Karya Santosa</t>
  </si>
  <si>
    <t>Suparjo</t>
  </si>
  <si>
    <t>Dukuh Duwet RT 02 RW 06 Desa Kuwayuhan, Kecamatan Pejagoan, Kabupaten Kebumen</t>
  </si>
  <si>
    <t>085742922331</t>
  </si>
  <si>
    <t>A71402001</t>
  </si>
  <si>
    <t>2000 kg / 2 kg</t>
  </si>
  <si>
    <t>APOTEK INSAN SEHAT</t>
  </si>
  <si>
    <t>Jl. Kejayan RT 01 RW 02 Dsesa Bocor, Kecamatan Buluspesantren, Kabupaten Kebumen</t>
  </si>
  <si>
    <t>082138551661</t>
  </si>
  <si>
    <t>Quattro</t>
  </si>
  <si>
    <t>FEJ-1000B</t>
  </si>
  <si>
    <t>1000 g / 0.2 g</t>
  </si>
  <si>
    <t>https://drive.google.com/open?id=1wddUyCogu6xHLG5iX-Ek__zUsjrErhNC</t>
  </si>
  <si>
    <t>Pertashop 4P.54338 (UD. Bumi Jaya Jagasuta)</t>
  </si>
  <si>
    <t xml:space="preserve">Jl. Deandels km 2,  Desa Ampelsari, Kecamatan Petanahan, Kabupaten Kebumen </t>
  </si>
  <si>
    <t>1110AW216157</t>
  </si>
  <si>
    <t>Pertashop 4P.54351 (CV. Berkah Mitra Abadi Sejahtera)</t>
  </si>
  <si>
    <t>Desa Tambakprogaten, Kecamatan Klirong, Kabupaten Kebumen</t>
  </si>
  <si>
    <t>Eaglester</t>
  </si>
  <si>
    <t>X1-111V</t>
  </si>
  <si>
    <t>Pertashop 4P.54339 (CV. Berkah Mitra Energi)</t>
  </si>
  <si>
    <t>Desa Jerukagung, Kecamatan Klirong, Kabupaten Kebumen</t>
  </si>
  <si>
    <t>Eaglestar</t>
  </si>
  <si>
    <t>Pertashop 4P.54336 (CV. Jaya Berkah Buluspesantren)</t>
  </si>
  <si>
    <t>Desa Murtirejo, Kecamatan Kebumen, Kabupaten Kebumen</t>
  </si>
  <si>
    <t>Pertashop 4P.54402</t>
  </si>
  <si>
    <t xml:space="preserve">Desa Kalirancang, Kecamatan Alian, Kabupaten Kebumen </t>
  </si>
  <si>
    <t>SK 10ZF111A</t>
  </si>
  <si>
    <t>1110AW201009</t>
  </si>
  <si>
    <t>Pertashop 4P.54343</t>
  </si>
  <si>
    <t>Desa Mulyosri, Kecamatan Prembun, Kabupaten Kebumen</t>
  </si>
  <si>
    <t>CENSTAR</t>
  </si>
  <si>
    <t>CS30J1110G</t>
  </si>
  <si>
    <t>Pertashop 4P.54328</t>
  </si>
  <si>
    <t>Desa Bojongsari, Kecamatan Alian, Kabupaten Kebumen</t>
  </si>
  <si>
    <t>110AW208050</t>
  </si>
  <si>
    <t>SPBU Kalibagor</t>
  </si>
  <si>
    <t>Kalibagor, Kabupaten Kebumen</t>
  </si>
  <si>
    <t>3/V39001</t>
  </si>
  <si>
    <t xml:space="preserve">29763C A-13 </t>
  </si>
  <si>
    <t xml:space="preserve">60 L/min (Pertalite) </t>
  </si>
  <si>
    <t>SPBE PT. Putra Ramadhan (TRADHA),</t>
  </si>
  <si>
    <t>Jl. Lingkar Selatan, Desa Kalirejo, Kecamatan Kebumen, Kabupaten Kebumen</t>
  </si>
  <si>
    <t>DB-IS</t>
  </si>
  <si>
    <t>DB24128040</t>
  </si>
  <si>
    <t>80 kg /0,001 kg</t>
  </si>
  <si>
    <t>SPBE PT. Putra Ramadhan (TRADHA),,</t>
  </si>
  <si>
    <t>2105140C0A</t>
  </si>
  <si>
    <t>DB25068105</t>
  </si>
  <si>
    <t>SPBE PT. Putra Ramadhan (TRADHA),,,</t>
  </si>
  <si>
    <t>BUDI</t>
  </si>
  <si>
    <t xml:space="preserve">10 kg </t>
  </si>
  <si>
    <t>PT. BISMAN</t>
  </si>
  <si>
    <t>Jl. Pahlawan No. 02, Desa Kutosari, Kecamatan Kebumen, Kabupaten Kebumen</t>
  </si>
  <si>
    <t>08567827773</t>
  </si>
  <si>
    <t>Fortuno</t>
  </si>
  <si>
    <t>JKS</t>
  </si>
  <si>
    <t>JKSE 17021</t>
  </si>
  <si>
    <t>30 kg / 5 g</t>
  </si>
  <si>
    <t>PT. BISMAN,</t>
  </si>
  <si>
    <t>Nagata</t>
  </si>
  <si>
    <t>A100W 301040</t>
  </si>
  <si>
    <t>25 kg / 50 g</t>
  </si>
  <si>
    <t>PT. SANTANA DARMA</t>
  </si>
  <si>
    <t>Jl. Pahlawan No. 01, Desa Kutosari, Kecamatan Kebumen, Kabupaten Kebumen</t>
  </si>
  <si>
    <t>A100W 301053</t>
  </si>
  <si>
    <t>SPBE PT. Putra Ramadhan (TRADHA),,,,</t>
  </si>
  <si>
    <t>SPBE PT. Putra Ramadhan (TRADHA),,,,,</t>
  </si>
  <si>
    <t>--</t>
  </si>
  <si>
    <t>SPBE PT. Putra Ramadhan (TRADHA),,,,,,</t>
  </si>
  <si>
    <t>SPBE PT. Putra Ramadhan (TRADHA),,,,,,,</t>
  </si>
  <si>
    <t xml:space="preserve">5 kg </t>
  </si>
  <si>
    <t>Tomy Sugiarto</t>
  </si>
  <si>
    <t>Karangputat, Kelurahan Pekuwon, Kecamatan Adimulyo, Kabupaten Kebumen</t>
  </si>
  <si>
    <t>082138288306</t>
  </si>
  <si>
    <t>Salter</t>
  </si>
  <si>
    <t>235 6M</t>
  </si>
  <si>
    <t>50 kg / 200 g</t>
  </si>
  <si>
    <t>https://drive.google.com/open?id=1Ic-fy3b8hjSYPqsJXwXlJGE_97pCnMwc</t>
  </si>
  <si>
    <t>Tomy Sugiarto,</t>
  </si>
  <si>
    <t>3A</t>
  </si>
  <si>
    <t>DLE-300</t>
  </si>
  <si>
    <t>https://drive.google.com/open?id=19xkGwPJrfOUf9IM6NZocx2lOQKNowcm0</t>
  </si>
  <si>
    <t>Pertashop 4P.54308</t>
  </si>
  <si>
    <t>Jl. Kuwarasan-Petanahan, Desa Sidomukti, Kecamatan Puring, Kabupaten Kebumen</t>
  </si>
  <si>
    <t>SK 22QF111A</t>
  </si>
  <si>
    <t>203W07BJA8</t>
  </si>
  <si>
    <t>Pertashop 4P.54427</t>
  </si>
  <si>
    <t>Desa Argopeni RT 05 RW 04, Kecamatan Ayah, Kabupaten Kebumen</t>
  </si>
  <si>
    <t xml:space="preserve">Pertashop 4P.54348 (CV. Rahma Abadi Makmur) </t>
  </si>
  <si>
    <t>Desa Sidoharjo, Kecamatan Puring, Kabupaten Kebumen</t>
  </si>
  <si>
    <t>EAGLESTAR</t>
  </si>
  <si>
    <t>EG X1-111V</t>
  </si>
  <si>
    <t xml:space="preserve">Pertashop 4P.54421 (PT. Sintesa Sinar Asia) </t>
  </si>
  <si>
    <t>Desa Pasir, Kecamatan Ayah, Kabupaten Kebumen</t>
  </si>
  <si>
    <t>1110AW214112</t>
  </si>
  <si>
    <t>Apotek Puring Farma</t>
  </si>
  <si>
    <t>Jl.Pantai Bopong RT 02 RW 03 Desa Sitiadi, Kecamatan Puring, Kabupaten Kebumen</t>
  </si>
  <si>
    <t>0895326982715</t>
  </si>
  <si>
    <t>Protis</t>
  </si>
  <si>
    <t>https://drive.google.com/open?id=1hc9goFft57jTaY5f9-NcZDKNzAbRcXOW</t>
  </si>
  <si>
    <t>PT SANTANA DARMA,</t>
  </si>
  <si>
    <t>JKSE17022</t>
  </si>
  <si>
    <t>30 kg / 2 g</t>
  </si>
  <si>
    <t>PT SANTANA DARMA,,</t>
  </si>
  <si>
    <t>JKSE17023</t>
  </si>
  <si>
    <t>Pertashop 4P.54329 (CV. Sankha Jaya Abadi)</t>
  </si>
  <si>
    <t>Desa Kaleng, Kecamatan Puring, Kabupaten Kebumen</t>
  </si>
  <si>
    <t>1110AW208008</t>
  </si>
  <si>
    <t>Pertashop 4P.54403 (PT. Harmobi Mitra Energi)</t>
  </si>
  <si>
    <t>Desa Kedaleman Wetan, Kecamatan Puring, Kabupaten Kebumen</t>
  </si>
  <si>
    <t>1110AW201036</t>
  </si>
  <si>
    <t>Pertashop 4P.54336 (CV. Sidomukti Jaya Perkasa)</t>
  </si>
  <si>
    <t>Desa Banjarejo, Kecamatan Puring, Kabupaten Kebumen</t>
  </si>
  <si>
    <t>1110AW216054</t>
  </si>
  <si>
    <t>Pertashop 4P.54312 (PT. Patra Jatijajar)</t>
  </si>
  <si>
    <t>Desa Wonoyoso, Kecamatan Kuwarasan, Kabupaten Kebumen</t>
  </si>
  <si>
    <t>EGXI-IIIV</t>
  </si>
  <si>
    <t xml:space="preserve">Pertashop 4P. 54326 ( PT Anugerah Baru Sekawan ) </t>
  </si>
  <si>
    <t>Desa Podourip, Kecamatan Petanahan, Kabupaten Kebumen</t>
  </si>
  <si>
    <t>DC-1SS</t>
  </si>
  <si>
    <t>ES-3872</t>
  </si>
  <si>
    <t>45L/Min</t>
  </si>
  <si>
    <t xml:space="preserve">Pertashop 4P. 54319 ( PT. Adimulyo Maju Lancar) </t>
  </si>
  <si>
    <t>Desa Kemujan, Kecamatan Adimulyo, Kabupaten Kebumen</t>
  </si>
  <si>
    <t xml:space="preserve">EGXI-IIIV </t>
  </si>
  <si>
    <t>50 L/Min</t>
  </si>
  <si>
    <t>Pertashop 4P. 54315</t>
  </si>
  <si>
    <t xml:space="preserve"> Desa Arjomulyo, Kecamatan Adimulyo, Kabupaten Kebumen</t>
  </si>
  <si>
    <t xml:space="preserve"> ES-3547</t>
  </si>
  <si>
    <t xml:space="preserve">Pertashop 4P. 54350( CV. Dadi Makmur Sejahtera) </t>
  </si>
  <si>
    <t>Desa Gandusari, Kecamatan Kewarasan, Kabupaten Kebumen</t>
  </si>
  <si>
    <t xml:space="preserve">Eaglestar </t>
  </si>
  <si>
    <t>50L/Min</t>
  </si>
  <si>
    <t>KAI Logistik Kebumen</t>
  </si>
  <si>
    <t>Jl. Stasiun, Kelurahan Panjer, Kecamatan Kebumen, Kabupaten Kebumen</t>
  </si>
  <si>
    <t>085329689422</t>
  </si>
  <si>
    <t>D-SCALE</t>
  </si>
  <si>
    <t>HD-A6-500K</t>
  </si>
  <si>
    <t>500 kg / 0,1 kg</t>
  </si>
  <si>
    <t>https://drive.google.com/open?id=1kOhw81K9res21Z5Zgt_eU5DSJJZovgZg</t>
  </si>
  <si>
    <t>Pertashop 4P.54317 (CV. Sinar Patra Energi)</t>
  </si>
  <si>
    <t>Desa Sumberadi, Kecamatan Kebumen, Kabupaten Kebumen</t>
  </si>
  <si>
    <t>KoreaEnE</t>
  </si>
  <si>
    <t>DC 133</t>
  </si>
  <si>
    <t>ES-3074</t>
  </si>
  <si>
    <t>Pertashop 4P.54320 (CV. Berkah Bangun Pertiwi)</t>
  </si>
  <si>
    <t>Desa Pekutan, Kecamatan Mirit, Kabupaten Kebumen</t>
  </si>
  <si>
    <t xml:space="preserve">EAGLESTAR </t>
  </si>
  <si>
    <t>EGX1-111V</t>
  </si>
  <si>
    <t>Pertashop 4P.54330 (UD. Rahmah)</t>
  </si>
  <si>
    <t>Desa Miritpetikusan, Kecamatan Mirit, Kabupaten Kebumen</t>
  </si>
  <si>
    <t>SK10ZF111A</t>
  </si>
  <si>
    <t>1110AW20A049</t>
  </si>
  <si>
    <t>Pertashop 4P.54345</t>
  </si>
  <si>
    <t>Desa Patukgawemulyo, Kecamatan Mirit, Kabupaten Kebumen</t>
  </si>
  <si>
    <t>SPBU 44.543.01 (PT. Candisari Mitra Energi)'</t>
  </si>
  <si>
    <t>60/6 L/Min</t>
  </si>
  <si>
    <t>Pertashop 4P.54318 (PT. Mavin Karya Mandiri)</t>
  </si>
  <si>
    <t>Desa Klirong, Kecamatan Klirong, Kabupaten Kebumen</t>
  </si>
  <si>
    <t>1110AW20B158</t>
  </si>
  <si>
    <t>Pertashop 4P.54340 (PT. Marvin Karya Mandiri)</t>
  </si>
  <si>
    <t>Desa Karangkembang, Kecamatan Alian, Kabupaten Kebumen</t>
  </si>
  <si>
    <t>WELLDONE</t>
  </si>
  <si>
    <t>WDLF112</t>
  </si>
  <si>
    <t>Pertashop 4P.54331 (PT. Marvin Karya Mandiri)</t>
  </si>
  <si>
    <t>Desa Jemur, Kecamatan Pejagoan, Kabupaten Kebumen</t>
  </si>
  <si>
    <t>1110AW214127</t>
  </si>
  <si>
    <t>Pertashop 4P.54322 (PT. Mavin Karya Mandiri)</t>
  </si>
  <si>
    <t>Desa Tanggeran, Kecamatan Sruweng, Kabupaten Kebumen</t>
  </si>
  <si>
    <t>1110AW208159</t>
  </si>
  <si>
    <t xml:space="preserve">Pertashop 4P. 54334 </t>
  </si>
  <si>
    <t>Desa Klapasawit, Kecamatan Buluspesantren, Kabupaten Kebumen</t>
  </si>
  <si>
    <t xml:space="preserve">SANKI   </t>
  </si>
  <si>
    <t>1110AW214133</t>
  </si>
  <si>
    <t xml:space="preserve">Pertashop 4P. 54323 ( PT. Bumen Jaya Energi) </t>
  </si>
  <si>
    <t xml:space="preserve">Desa Lajer, Kecamatan Ambal, Kabupaten Kebumen  </t>
  </si>
  <si>
    <t>1110AW214105</t>
  </si>
  <si>
    <t xml:space="preserve">Pertashop 4P. 54342 ( CV. Sankha Jaya Abadi ) </t>
  </si>
  <si>
    <t>Desa Sinungrejo, Kecamatan Ambal, Kabupaten Kebumen</t>
  </si>
  <si>
    <t xml:space="preserve">Korea EnE   </t>
  </si>
  <si>
    <t>PSISS</t>
  </si>
  <si>
    <t>ES 5553</t>
  </si>
  <si>
    <t>Pertashop 4P.54347 (PT. Kadewe Berkah Abadi)</t>
  </si>
  <si>
    <t xml:space="preserve">Desa Kedungwaru RT 005 RW 001, Kecamatan Karangsambung, Kabupaten Kebumen </t>
  </si>
  <si>
    <t>Pertashop 4P. 54352</t>
  </si>
  <si>
    <t xml:space="preserve">Desa Pagebangan, Kecamatan Karanggayam, Kabupaten Kebumen </t>
  </si>
  <si>
    <t>Pertashop 4P.54304 Desa Karanggayam</t>
  </si>
  <si>
    <t>Dukuh Kaliterus RT 2 RW 4 Desa Karanggayam, Kecamatan Karanggayam, Kabupaten Kebumen</t>
  </si>
  <si>
    <t>ES-2689</t>
  </si>
  <si>
    <t>45 L/Min</t>
  </si>
  <si>
    <t>Apotek Bumirejo</t>
  </si>
  <si>
    <t>Jl. HM Sarbini No. 63, Desa Bumirejo, Kecamatan Kebumen, Kabupaten Kebumen</t>
  </si>
  <si>
    <t>081804856072</t>
  </si>
  <si>
    <t>Super De Lux</t>
  </si>
  <si>
    <t>090453</t>
  </si>
  <si>
    <t>Bheqi Farm</t>
  </si>
  <si>
    <t>Desa Seliling, Kecamatan Alian, Kabupaten Kebumen</t>
  </si>
  <si>
    <t>087715161440</t>
  </si>
  <si>
    <t>https://drive.google.com/open?id=12ZtAvQxHteGzBT5yOl08kR047fO319v0</t>
  </si>
  <si>
    <t xml:space="preserve">Pertashop 4P. 54414 ( CV. MEKAR RAHAYU AYAH )  </t>
  </si>
  <si>
    <t>Desa Jatijajar, Kecamatan Ayah, Kabupaten Kebumen</t>
  </si>
  <si>
    <t xml:space="preserve">Eaglestar   </t>
  </si>
  <si>
    <t xml:space="preserve">Pertashop 4P. 54446 (Primer Koperasi Kartika B-06 Kebumen) </t>
  </si>
  <si>
    <t xml:space="preserve"> Desa Kretek, Kecamatan Rowokele, kabupaten Kebumen</t>
  </si>
  <si>
    <t xml:space="preserve">Pertashop 4P. 54425 (PT. Patra )  </t>
  </si>
  <si>
    <t xml:space="preserve">Korea EnE  </t>
  </si>
  <si>
    <t>PS1SS</t>
  </si>
  <si>
    <t>Klinik Pratama Rawat Jalan Widi Medika</t>
  </si>
  <si>
    <t>Jl. Letjen Suprapto RT 008 RW 006, Kelurahan Kebumen, Kecamatan Kebumen, Kabupaten Jawa Tengah</t>
  </si>
  <si>
    <t>089653474224</t>
  </si>
  <si>
    <t xml:space="preserve">ACIS </t>
  </si>
  <si>
    <t xml:space="preserve">BC-500 </t>
  </si>
  <si>
    <t>E240918371</t>
  </si>
  <si>
    <t>https://drive.google.com/open?id=1BWRge4qsGLyAhvqnGUNmqQCSu1Lsep9i</t>
  </si>
  <si>
    <t>Bag SDM Polres Kebumen</t>
  </si>
  <si>
    <t>Jl. Tentara Pelajar No.39, Panggel, Panjer, Kec. Kebumen, Kabupaten Kebumen</t>
  </si>
  <si>
    <t>085726673339</t>
  </si>
  <si>
    <t>GEA Health Scale</t>
  </si>
  <si>
    <t>ZT - 120</t>
  </si>
  <si>
    <t>120 KG</t>
  </si>
  <si>
    <t>Pertashop 4P.54309</t>
  </si>
  <si>
    <t>Desa Poncowarno, Kecamatan Poncowarno, Kabupaten Kebumen</t>
  </si>
  <si>
    <t>220F111A</t>
  </si>
  <si>
    <t>203W07BJ84</t>
  </si>
  <si>
    <t>Pertashop 4P.54333</t>
  </si>
  <si>
    <t>Desa Wonokromo, Kecamatan Alian, Kabupaten Kebumen</t>
  </si>
  <si>
    <t>111AWZ14122</t>
  </si>
  <si>
    <t xml:space="preserve">Pertashop 4P.54324 </t>
  </si>
  <si>
    <t>Desa Padureso, Kecamatan Padureso, Kabupaten Kebumen</t>
  </si>
  <si>
    <t>Sanki</t>
  </si>
  <si>
    <t>1110AW214104</t>
  </si>
  <si>
    <t xml:space="preserve">Pertashop 4P. 54307 (CV. CIPTA KREASI SENTOSA ) </t>
  </si>
  <si>
    <t>Desa Karangsambung, Kecamatan Karangsambung, Kabupaten Kebumen</t>
  </si>
  <si>
    <t>ES-3223</t>
  </si>
  <si>
    <t xml:space="preserve">Pertashop 4P. 54441 ( PT. NANDHITO JAYA NUHROHO ) </t>
  </si>
  <si>
    <t xml:space="preserve">Desa Buayan, Kecamatan Buayan, Kabupaten Kebumen </t>
  </si>
  <si>
    <t>Pertashop 4P. 54410 ( PT. PATRA JATIJAJAR )</t>
  </si>
  <si>
    <t xml:space="preserve">Desa Banyumudal, Kecamatan Buayan, Kabupaten Kebumen </t>
  </si>
  <si>
    <t>SPBU 44.544.02</t>
  </si>
  <si>
    <t xml:space="preserve">Jl. Raya Karanganyar-Gombong, Desa Kedungpuji, Kecamatan Gombong, Kabupaten Kebumen </t>
  </si>
  <si>
    <t>70L/Min</t>
  </si>
  <si>
    <t>PT. Mega Inovasi Organik</t>
  </si>
  <si>
    <t>Desa Argosari RT 05 RW 01, KecamatanAyah, Kabupaten Kebumen</t>
  </si>
  <si>
    <t>085227669338</t>
  </si>
  <si>
    <t>Tora</t>
  </si>
  <si>
    <t>TR-DS11030</t>
  </si>
  <si>
    <t>Apotek Rumaila</t>
  </si>
  <si>
    <t xml:space="preserve">Jl. Sokka Petanahan No.5 Desa Kedawung, Kecamatan Pejagoan, Kabupaten Kebumen </t>
  </si>
  <si>
    <t>08164816482</t>
  </si>
  <si>
    <t>Protinal</t>
  </si>
  <si>
    <t xml:space="preserve">PT. CHAROEN POKPHAND INDONESIA </t>
  </si>
  <si>
    <t xml:space="preserve">Jl. Raya Puring-Gombong, Area Sawah, Desa Sitiadi, Kecamatan Puring, Kabupaten Kebumen </t>
  </si>
  <si>
    <t>rizal.novianto@cp.co.id</t>
  </si>
  <si>
    <t xml:space="preserve">Balanza </t>
  </si>
  <si>
    <t>BX -1</t>
  </si>
  <si>
    <t>300 kg / 200 g</t>
  </si>
  <si>
    <t>PT. CHAROEN POKPHAND INDONESIA,</t>
  </si>
  <si>
    <t>BX-1</t>
  </si>
  <si>
    <t>HC.YB. 15014</t>
  </si>
  <si>
    <t>PT. CHAROEN POKPHAND INDONESIA,,</t>
  </si>
  <si>
    <t xml:space="preserve">Mettler Toledo </t>
  </si>
  <si>
    <t xml:space="preserve">BPA 121 </t>
  </si>
  <si>
    <t>3 kg / 1 g</t>
  </si>
  <si>
    <t>PT. CHAROEN POKPHAND INDONESIA,,,</t>
  </si>
  <si>
    <t xml:space="preserve">Jadever </t>
  </si>
  <si>
    <t>JWP</t>
  </si>
  <si>
    <t>JWP1523J191</t>
  </si>
  <si>
    <t>6 kg / 1 g</t>
  </si>
  <si>
    <t>PT. CHAROEN POKPHAND INDONESIA,,,,</t>
  </si>
  <si>
    <t xml:space="preserve">JWP </t>
  </si>
  <si>
    <t>JWP0619H224</t>
  </si>
  <si>
    <t>PT. CHAROEN POKPHAND INDONESIA,,,,,</t>
  </si>
  <si>
    <t>PT. CHAROEN POKPHAND INDONESIA.</t>
  </si>
  <si>
    <t>PT. CHAROEN POKPHAND INDONESIA..</t>
  </si>
  <si>
    <t>JWP1523J180</t>
  </si>
  <si>
    <t>6bkg / 1 g</t>
  </si>
  <si>
    <t>PT. CHAROEN POKPHAND INDONESIA...</t>
  </si>
  <si>
    <t>PT. CHAROEN POKPHAND INDONESIA....</t>
  </si>
  <si>
    <t>JWP21090155</t>
  </si>
  <si>
    <t>PT. CHAROEN POKPHAND INDONESIA.....</t>
  </si>
  <si>
    <t>PT. CHAROEN POKPHAND INDONESIA'</t>
  </si>
  <si>
    <t>JWP2201319</t>
  </si>
  <si>
    <t>PT. CHAROEN POKPHAND INDONESIA''</t>
  </si>
  <si>
    <t>015000023</t>
  </si>
  <si>
    <t>PT. CHAROEN POKPHAND INDONESIA'''</t>
  </si>
  <si>
    <t>JWP0619H172</t>
  </si>
  <si>
    <t xml:space="preserve">Sari Asih </t>
  </si>
  <si>
    <t>Desa Geblug RT 01 RW 03, Kecamatan Buayan, Kabupaten Kebumen</t>
  </si>
  <si>
    <t>08122233649</t>
  </si>
  <si>
    <t>FRT</t>
  </si>
  <si>
    <t>TCS-B1</t>
  </si>
  <si>
    <t>150 kg / 50 g</t>
  </si>
  <si>
    <t>Sumarno</t>
  </si>
  <si>
    <t>Dukuh Londeng RT 01 RW 08, Desa Jladri, Kecamatan Buayan, Kabupaten Kebumen</t>
  </si>
  <si>
    <t>08132750541</t>
  </si>
  <si>
    <t>JKS 150</t>
  </si>
  <si>
    <t>JKSC1707883</t>
  </si>
  <si>
    <t>150 kg / 10 g</t>
  </si>
  <si>
    <t>Sumarno,</t>
  </si>
  <si>
    <t xml:space="preserve">Dukuh Londeng RT 01 RW 08, Desa Jladri, Kecamatan Buayan, Kabupaten Kebumen </t>
  </si>
  <si>
    <t xml:space="preserve">DB-IS </t>
  </si>
  <si>
    <t>Siti Bariati</t>
  </si>
  <si>
    <t>Kedungwinangun</t>
  </si>
  <si>
    <t>GSF</t>
  </si>
  <si>
    <t>Apotek Yakin Sehat</t>
  </si>
  <si>
    <t>Jalan Kejayan Desa Bocor, Kecamatan Buluspesantren, Kabupaten Kebumen</t>
  </si>
  <si>
    <t>081326909555</t>
  </si>
  <si>
    <t>BC-500</t>
  </si>
  <si>
    <t>E250703042</t>
  </si>
  <si>
    <t>APOTEK NARAYANA</t>
  </si>
  <si>
    <t>Jl. Pantai Logending Desa Ayah RT 02 RW 02, Kecamatan Ayah, Kabupaten Kebumen</t>
  </si>
  <si>
    <t>085700508900</t>
  </si>
  <si>
    <t>BC -500</t>
  </si>
  <si>
    <t>E250703078</t>
  </si>
  <si>
    <t>https://drive.google.com/open?id=1mY9IkhiJGiwv6g7WCE_A27SCwkwLDFXu</t>
  </si>
  <si>
    <t>Umiyatun</t>
  </si>
  <si>
    <t>Desa Candirenggo RT 04 RW 05, Kecamatan Ayah, Kabupaten Kebumen</t>
  </si>
  <si>
    <t>081327671727</t>
  </si>
  <si>
    <t>1803110DE7</t>
  </si>
  <si>
    <t>80 kg / 20 g</t>
  </si>
  <si>
    <t>Yakimin</t>
  </si>
  <si>
    <t>Desa Karangduwur RT 05 RW 01, Kecamatan Ayah, Kabupaten Kebumen</t>
  </si>
  <si>
    <t>Furano</t>
  </si>
  <si>
    <t>JKSC18071342</t>
  </si>
  <si>
    <t>M. Dahlan</t>
  </si>
  <si>
    <t>Desa Kalipoh RT 05 RW 03, Kecamatan Ayah, Kabupaten Kebumen</t>
  </si>
  <si>
    <t>Supiyono</t>
  </si>
  <si>
    <t>Dukuh Ranceban, Desa Kalipoh RT 04 RW 02, Kecamatan Ayah, Kabupaten Kebumen</t>
  </si>
  <si>
    <t>Nyaminah</t>
  </si>
  <si>
    <t>Dukuh Kaligalang, Desa Tlogosari RT 04 RW 05, Kecamatan Ayah, Kabupaten Kebumen</t>
  </si>
  <si>
    <t>Virtus</t>
  </si>
  <si>
    <t>YMK-150</t>
  </si>
  <si>
    <t>YMKSS2206143</t>
  </si>
  <si>
    <t>Yatiman</t>
  </si>
  <si>
    <t>DUkuh Sari, Desa Argosari RT 02 RW 02, Kecamatana Ayah, Kabupaten Kebumen</t>
  </si>
  <si>
    <t>15012295AO</t>
  </si>
  <si>
    <t>Sarti Rianingsih</t>
  </si>
  <si>
    <t>Dukuh Karanggedang, Desa Candirenggo RT 05 RW 05, Kecamatan Ayah, Kabupaten Kebumen</t>
  </si>
  <si>
    <t>JKSC2205267</t>
  </si>
  <si>
    <t>PT. Mutu Abadi Selaras - Buayan</t>
  </si>
  <si>
    <t>Jl. Raya Nasional 3 No. 14 RT 03 RW 01, Desa Purbowangi, Kecamatan Buayan, Kabupaten Kebumen</t>
  </si>
  <si>
    <t>OSUKA</t>
  </si>
  <si>
    <t>500 g / 0,01 g</t>
  </si>
  <si>
    <t>PT. Mutu Abadi Selaras – Buayan,</t>
  </si>
  <si>
    <t>FUJIYAMA</t>
  </si>
  <si>
    <t>FES-30</t>
  </si>
  <si>
    <t>PT. HM Sampoerna Tbk. – MPS Buayan</t>
  </si>
  <si>
    <t>METTLER TOLEDO GmbH</t>
  </si>
  <si>
    <t>ME802</t>
  </si>
  <si>
    <t>C348197670</t>
  </si>
  <si>
    <t>820 g / 0,01 g</t>
  </si>
  <si>
    <t>PT. HM Sampoerna Tbk. – MPS Buayan,</t>
  </si>
  <si>
    <t>C348197671</t>
  </si>
  <si>
    <t>PT. HM Sampoerna Tbk. – MPS Buayan,,</t>
  </si>
  <si>
    <t>C348197672</t>
  </si>
  <si>
    <t>PT. HM Sampoerna Tbk. – MPS Buayan,,,</t>
  </si>
  <si>
    <t>C348197673</t>
  </si>
  <si>
    <t>PT. HM Sampoerna Tbk. – MPS Buayan,,,,</t>
  </si>
  <si>
    <t>C348197674</t>
  </si>
  <si>
    <t>PT. HM Sampoerna Tbk. – MPS Buayan,,,,,</t>
  </si>
  <si>
    <t>C348197675</t>
  </si>
  <si>
    <t>PT. HM Sampoerna Tbk. – MPS Buayan,,,,,,</t>
  </si>
  <si>
    <t>C348197676</t>
  </si>
  <si>
    <t>PT. HM Sampoerna Tbk. – MPS Buayan,,,,,,,</t>
  </si>
  <si>
    <t>C348197677</t>
  </si>
  <si>
    <t>PT. HM Sampoerna Tbk. – MPS Buayan,,,,,,,,</t>
  </si>
  <si>
    <t>C348197678</t>
  </si>
  <si>
    <t>PT. HM Sampoerna Tbk. – MPS Buayan,,,,,,,,,</t>
  </si>
  <si>
    <t>C348197679</t>
  </si>
  <si>
    <t>PT. HM Sampoerna Tbk. – MPS Buayan,,,,,,,,,,</t>
  </si>
  <si>
    <t>C348197680</t>
  </si>
  <si>
    <t>PT. HM Sampoerna Tbk. – MPS Buayan,,,,,,,,,,,</t>
  </si>
  <si>
    <t>C348197681</t>
  </si>
  <si>
    <t>PT. HM Sampoerna Tbk. – MPS Buayan,,,,,,,,,,,,</t>
  </si>
  <si>
    <t>BBA231-3BB35A/S</t>
  </si>
  <si>
    <t>C347169709</t>
  </si>
  <si>
    <t>35 kg / 0,005 kg</t>
  </si>
  <si>
    <t>PT. HM Sampoerna Tbk. – MPS Buayan,,,,,,,,,,,,,,</t>
  </si>
  <si>
    <t>C347169833</t>
  </si>
  <si>
    <t>C347169710</t>
  </si>
  <si>
    <t>PT. HM Sampoerna Tbk. – MPS Buayan,,,,,,,,,,,,,,,</t>
  </si>
  <si>
    <t>C347169711</t>
  </si>
  <si>
    <t>PT. HM Sampoerna Tbk. – MPS Buayan,,,,,,,,,,,,,,,,,</t>
  </si>
  <si>
    <t>C347169712</t>
  </si>
  <si>
    <t>C352347075</t>
  </si>
  <si>
    <t>PT. HM Sampoerna Tbk. – MPS Buayan,,,,,,,,,,,,,,,,,,</t>
  </si>
  <si>
    <t>ICS429-6CC300/s</t>
  </si>
  <si>
    <t>C347169730</t>
  </si>
  <si>
    <t>300 kg / 0,05 kg</t>
  </si>
  <si>
    <t>ANDI ISRIYANTO</t>
  </si>
  <si>
    <t>Dukuh Panyet RT 04 RW 02 Desa Karangduwur, Kecamatan Ayah, Kabupaten Kebumen</t>
  </si>
  <si>
    <t>FURANO</t>
  </si>
  <si>
    <t>JKSC2410656</t>
  </si>
  <si>
    <t xml:space="preserve">150 kg / 0,01 kg </t>
  </si>
  <si>
    <t>Dukuh Panyet RT 04 RW 02 Desa Karang Duwu, Kecamatan Ayah, Kabupaten Kebumen</t>
  </si>
  <si>
    <t>JKSC2103227</t>
  </si>
  <si>
    <t>150 kg / 0,01 kg</t>
  </si>
  <si>
    <t>Apotek Kondang Bergas</t>
  </si>
  <si>
    <t>Bojongsari RT 01 RW 01, Kecamatan Alian, Kabupaten Kebumen</t>
  </si>
  <si>
    <t>0895429966678</t>
  </si>
  <si>
    <t>_</t>
  </si>
  <si>
    <t>https://drive.google.com/open?id=1uQgWItE9CjSJCM3ZsGJOc7EVBXvraV8n</t>
  </si>
  <si>
    <t>UD. Daffa</t>
  </si>
  <si>
    <t>Karangsari RT 02 RW 01, Kecamatan Kebumen, Kabupaten Kebumen</t>
  </si>
  <si>
    <t>082134165999</t>
  </si>
  <si>
    <t>Greatscale</t>
  </si>
  <si>
    <t>Apotek Puri Medika</t>
  </si>
  <si>
    <t>Jl.Karangbolong KM 05 Mergasana, Kecamatan Buayan, Kabupaten Kebumen</t>
  </si>
  <si>
    <t>085810171942</t>
  </si>
  <si>
    <t>Osuka</t>
  </si>
  <si>
    <t>OSK-1000</t>
  </si>
  <si>
    <t>1 kg / 0.1 g</t>
  </si>
  <si>
    <t xml:space="preserve">APOTEK ALHUDA </t>
  </si>
  <si>
    <t>Jl.HM. Sarbini No. 122, Kecamatan Kebumen, Kabupaten Kebumen</t>
  </si>
  <si>
    <t>082138393138</t>
  </si>
  <si>
    <t>AJ SERIES</t>
  </si>
  <si>
    <t>1000 g / 0.01 g</t>
  </si>
  <si>
    <t>https://drive.google.com/open?id=1iSjGBYQlmgxkPPkYc0rrLjVSd1M1bchD</t>
  </si>
  <si>
    <t>Apotek Syandana</t>
  </si>
  <si>
    <t>Klopogondo, Kecamatan Sruweng, Kabupaten Kebumen</t>
  </si>
  <si>
    <t>081399976388</t>
  </si>
  <si>
    <t>ACIS/BC-500</t>
  </si>
  <si>
    <t>812031605166900000121</t>
  </si>
  <si>
    <t>Apotek Cahayamu</t>
  </si>
  <si>
    <t>Jl. Daendels KM 1, Kecamatan Petanahan, Kabupaten Kebumen</t>
  </si>
  <si>
    <t>081215642882</t>
  </si>
  <si>
    <t>E250703127</t>
  </si>
  <si>
    <t>https://drive.google.com/open?id=1Wv2broQHgdJpAzZRcYPLeKApXjrbLuSO</t>
  </si>
  <si>
    <t xml:space="preserve">PT. GIRI SELOMAS SEJAHTERA </t>
  </si>
  <si>
    <t xml:space="preserve">Jl. Raya Gombong Barat Km 3 Purbowangi, Kecamatan Buayan, Kabupaten Kebumen </t>
  </si>
  <si>
    <t>Giriselomas@yahoo.com</t>
  </si>
  <si>
    <t>GSC</t>
  </si>
  <si>
    <t>GST 9800 P</t>
  </si>
  <si>
    <t>60.000 kg / 10 kg</t>
  </si>
  <si>
    <t>PT. Mitra Desa Kebumen</t>
  </si>
  <si>
    <t>Jl. Raya Kutoarjo-Kebumen, Desa Kaliputih, Kecamatan Kutowinangun, Kabupaten Kebumen</t>
  </si>
  <si>
    <t>mitradesakebumen@gmail.com</t>
  </si>
  <si>
    <t>GEWINN</t>
  </si>
  <si>
    <t>Smart Gewinn</t>
  </si>
  <si>
    <t>50000 kg / 10 kg</t>
  </si>
  <si>
    <t>PT. Mitra Desa Kebumen,</t>
  </si>
  <si>
    <t>ALEXA</t>
  </si>
  <si>
    <t>TMALEXARB 600/5060</t>
  </si>
  <si>
    <t>SPCRBEK0391</t>
  </si>
  <si>
    <t>600 kg / 10 g</t>
  </si>
  <si>
    <t>PT. Mitra Desa Kebumen,,</t>
  </si>
  <si>
    <t>TMALEXAA 150/4050</t>
  </si>
  <si>
    <t>SPGAEY 0115</t>
  </si>
  <si>
    <t>PT. Mitra Desa Kebumen,,,</t>
  </si>
  <si>
    <t>C220801015</t>
  </si>
  <si>
    <t>PT. Mitra Desa Kebumen,,,,</t>
  </si>
  <si>
    <t>ZAAGA</t>
  </si>
  <si>
    <t>50 kg / 10 g</t>
  </si>
  <si>
    <t>Apotek Al Fatih</t>
  </si>
  <si>
    <t xml:space="preserve">Desa Jintung RT 02 RW 01, Kecamatan Ayah, Kabupaten Kebumen </t>
  </si>
  <si>
    <t>085726187856</t>
  </si>
  <si>
    <t>BC-5000</t>
  </si>
  <si>
    <t>0019</t>
  </si>
  <si>
    <t>PT. SUBA JAYA SEJAHTERA</t>
  </si>
  <si>
    <t>Jl. Raya Karanganyar RT 02 RW 01, Desa Purwodeso, Kecamatan Sruweng, Kabupaten Kebumen</t>
  </si>
  <si>
    <t>Grains Scale</t>
  </si>
  <si>
    <t>XK3190A12</t>
  </si>
  <si>
    <t>GN1612128</t>
  </si>
  <si>
    <t>2000 kg / 5 kg</t>
  </si>
  <si>
    <t>PT. SUBA JAYA SEJAHTERA,</t>
  </si>
  <si>
    <t>GN1612068</t>
  </si>
  <si>
    <t>2000 kg / 1 kg</t>
  </si>
  <si>
    <t>PT. SUBA JAYA SEJAHTERA,,</t>
  </si>
  <si>
    <t>1000 kg / 1 kg</t>
  </si>
  <si>
    <t xml:space="preserve">Apotek Ananda </t>
  </si>
  <si>
    <t>Jl. Lingkar Selatan No. 16, Desa Kalitengah, Kecamatan Gombong, Kabupaten Kebumen</t>
  </si>
  <si>
    <t>085290036357</t>
  </si>
  <si>
    <t>50 g / 5 mg</t>
  </si>
  <si>
    <t>APOTEK BUNDA FARMA</t>
  </si>
  <si>
    <t>Jl. Kaleng No. 55, Meles, Adimulyo - Kebumen</t>
  </si>
  <si>
    <t>089619888451</t>
  </si>
  <si>
    <t xml:space="preserve">600 g / 0,01 g </t>
  </si>
  <si>
    <t>RPA Pangestu Broiler</t>
  </si>
  <si>
    <t>Desa Rogodadi, Kecamatan Buayan, Kabupaten Kebumen</t>
  </si>
  <si>
    <t>08225744976</t>
  </si>
  <si>
    <t xml:space="preserve">Digitech </t>
  </si>
  <si>
    <t>Aji cahyono</t>
  </si>
  <si>
    <t>Ambal remi kec ambal kab kebumen</t>
  </si>
  <si>
    <t>085801380022</t>
  </si>
  <si>
    <t>Timbangan Meja Beranger</t>
  </si>
  <si>
    <t>Akur</t>
  </si>
  <si>
    <t>Cilok Ciball</t>
  </si>
  <si>
    <t>Jalan Ahmad Yani No 22, Kecamatan Kebumen, Kabupaten Kebumen</t>
  </si>
  <si>
    <t>085713808193</t>
  </si>
  <si>
    <t>Pro-Quip</t>
  </si>
  <si>
    <t>TDS-30</t>
  </si>
  <si>
    <t>Apotek Elita Farma</t>
  </si>
  <si>
    <t>Desa Karangduwur RT 004 RW 002, Kecamatan Ayah, Kabupaten Kebumen</t>
  </si>
  <si>
    <t>081215616410</t>
  </si>
  <si>
    <t>E250402230</t>
  </si>
  <si>
    <t>Apotek Sahabat</t>
  </si>
  <si>
    <t>Jl. Kutoarjo No. 70 (depan Pasar Selang), Desa Adikarso, Kecamatan Kebumen, Kabupaten Kebumen</t>
  </si>
  <si>
    <t>08562866357</t>
  </si>
  <si>
    <t xml:space="preserve">NK </t>
  </si>
  <si>
    <t>Apotek Ghaisani</t>
  </si>
  <si>
    <t>Desa Bendogarap RT 02 RW 01, Kecamatan Klirong, Kabupaten Kebumen</t>
  </si>
  <si>
    <t>087895591109</t>
  </si>
  <si>
    <t xml:space="preserve">Apotek Inar farma </t>
  </si>
  <si>
    <t>Desa Semali RT 02 RW 02, Kecamatan Sempor, Kabupaten Kebumen</t>
  </si>
  <si>
    <t>085936682415</t>
  </si>
  <si>
    <t>BC500</t>
  </si>
  <si>
    <t>C220801244</t>
  </si>
  <si>
    <t xml:space="preserve">CV. Bilqis Dua Putra </t>
  </si>
  <si>
    <t xml:space="preserve">Dukuh Bantar Lebak RT 5 RW 1, Desa Sukomulyo, Kecamatan Rowokele, Kabupaten Kebumen </t>
  </si>
  <si>
    <t xml:space="preserve">PDS </t>
  </si>
  <si>
    <t>CV. Bilqis Dua Putra1</t>
  </si>
  <si>
    <t>CK</t>
  </si>
  <si>
    <t>CV. Bilqis Dua Putra2</t>
  </si>
  <si>
    <t>CV. Bilqis Dua Putra3</t>
  </si>
  <si>
    <t>Dukuh Bantar Lebak RT 5 RW 1, Desa Sukomulyo, Kecamatan Rowokele, Kabupaten Kebumen</t>
  </si>
  <si>
    <t>2 kg / 10 g</t>
  </si>
  <si>
    <t>CV. Bilqis Dua Putra4</t>
  </si>
  <si>
    <t>REN HE</t>
  </si>
  <si>
    <t>NHS 2</t>
  </si>
  <si>
    <t>CV. Bilqis Dua Putra5</t>
  </si>
  <si>
    <t>CV. Bilqis Dua Putra6</t>
  </si>
  <si>
    <t>CV. Bilqis Dua Putra7</t>
  </si>
  <si>
    <t>CROWN</t>
  </si>
  <si>
    <t>CV. Bilqis Dua Putra8</t>
  </si>
  <si>
    <t>RENKMHE</t>
  </si>
  <si>
    <t>NHS-1</t>
  </si>
  <si>
    <t>1 kg / 5 g</t>
  </si>
  <si>
    <t>CV. Bilqis Dua Putra9</t>
  </si>
  <si>
    <t>Pangestu Broiler Indonesia</t>
  </si>
  <si>
    <t>Rogodadi RT 01/RW 04, Kecamatan Buayan, Kabupaten Kebumen</t>
  </si>
  <si>
    <t>082225744976</t>
  </si>
  <si>
    <t xml:space="preserve">DIGITECH DB-1S </t>
  </si>
  <si>
    <t>DB26018232</t>
  </si>
  <si>
    <t>150kg/10g</t>
  </si>
  <si>
    <t>Apotek Gamblok Sehat</t>
  </si>
  <si>
    <t>Jl. Pasar Tanjungsari RT 02/ RW 03, Tanjungsari, Petanahan</t>
  </si>
  <si>
    <t>085225707468</t>
  </si>
  <si>
    <t>C260301004</t>
  </si>
  <si>
    <t>500 g x 0.1 g</t>
  </si>
  <si>
    <t>https://drive.google.com/open?id=1taq36lKNugP1x90urokZflx3UNbg66so</t>
  </si>
  <si>
    <t>Apotek Cynara Medika</t>
  </si>
  <si>
    <t>Jl.raya Mirit km 6,Desa mangunranan,kec Mirit,kab kebumen.</t>
  </si>
  <si>
    <t>081392329034</t>
  </si>
  <si>
    <t>C260301001</t>
  </si>
  <si>
    <t>500 g x0,1g</t>
  </si>
  <si>
    <t>PT. Surya Buana Indah</t>
  </si>
  <si>
    <t>Desa Sruweng, Kecamatan Sruweng, Kabupaten Kebumen</t>
  </si>
  <si>
    <t>sbi_kbm@yahoo.com</t>
  </si>
  <si>
    <t>A 12 E</t>
  </si>
  <si>
    <t>IMIWH9-1901000232</t>
  </si>
  <si>
    <t>7000 kg / 5 kg</t>
  </si>
  <si>
    <t>PT. Surya Buana Indah,</t>
  </si>
  <si>
    <t>Rutan Kebumen</t>
  </si>
  <si>
    <t>Jalan Soekarno Hatta Nomor 163, Kecamatan Kebumen, Kabupaten Kebumen</t>
  </si>
  <si>
    <t>08121540536</t>
  </si>
  <si>
    <t>500 kg / 100 g</t>
  </si>
  <si>
    <t>Apotek Mitra Sehat Kebumen</t>
  </si>
  <si>
    <t>Jl. Kejayan no. 93A, Kecamatan Kebumen, Kabupaten Kebumen</t>
  </si>
  <si>
    <t>087739795165</t>
  </si>
  <si>
    <t>P.G.B</t>
  </si>
  <si>
    <t>PT. Rafardhan Jaya Mandiri</t>
  </si>
  <si>
    <t>Jl. Karanggayam RT 03 RW 04 Kelurahan Plarangan, Kecamatan Karanganyar, Kabupaten Kebumen</t>
  </si>
  <si>
    <t>082224408969</t>
  </si>
  <si>
    <t>NANKAI</t>
  </si>
  <si>
    <t>ART: 177-08</t>
  </si>
  <si>
    <t>150 kg / 20 g</t>
  </si>
  <si>
    <t>Sumirah</t>
  </si>
  <si>
    <t>Wonokromo</t>
  </si>
  <si>
    <t>Dinas Pertanian dan Pangan Kabupaten Kebumen</t>
  </si>
  <si>
    <t xml:space="preserve">Pasar Hewan Gombong, Desa Semanding, Kecamatan Gombong, Kabupaten Kebumen </t>
  </si>
  <si>
    <t>CAS</t>
  </si>
  <si>
    <t>CI-2001 AS</t>
  </si>
  <si>
    <t>Dinas Pertanian dan Pangan Kabupaten Kebumen'</t>
  </si>
  <si>
    <t>Pasar Hewan Argopeni, Desa Argopeni, Kecamatan Kebumen, Kabupaten Kebumen</t>
  </si>
  <si>
    <t>INS-M1704921</t>
  </si>
  <si>
    <t>Apotek NS Farma 2</t>
  </si>
  <si>
    <t>Jl. Puring-Petanahan RT 02 RW 03, Desa Karangduwur, Kecamatan Petanahan, Kabupaten Kebumen</t>
  </si>
  <si>
    <t>081227860207</t>
  </si>
  <si>
    <t>K-24 Letjend Suprapto Kebumen</t>
  </si>
  <si>
    <t>Jalan Letjend Suprapto 18, Kecamatan Kebumen, Kabupaten Kebumen</t>
  </si>
  <si>
    <t>0895609247676</t>
  </si>
  <si>
    <t>Mekar</t>
  </si>
  <si>
    <t>PT. Apotek Luk Ulo Ambal</t>
  </si>
  <si>
    <t>Dusun Kapung Wetan RT 03 RW 01, Desa Ambalresmi, Kecamatan Ambal, Kabupaten Kebumen</t>
  </si>
  <si>
    <t>085759142196</t>
  </si>
  <si>
    <t>C260301054</t>
  </si>
  <si>
    <t>KAI LOGISTIK  KEBUMEN</t>
  </si>
  <si>
    <t xml:space="preserve">Jl. Stasiun, Panjer,  Kecamatan Kebumen, Kabupaten Kebumen  </t>
  </si>
  <si>
    <t>082134313737</t>
  </si>
  <si>
    <t>PRESISIE</t>
  </si>
  <si>
    <t>500 kg / 0,2 kg</t>
  </si>
  <si>
    <t xml:space="preserve">APOTEK GOMBONG </t>
  </si>
  <si>
    <t>Jl. Yos Sudarso, Gombong, Kec. Gombong, Kabupaten Kebumen, Jawa Tengah 54411</t>
  </si>
  <si>
    <t>081329522508</t>
  </si>
  <si>
    <t>C260301129</t>
  </si>
  <si>
    <t>500 gram / 0,1 gram</t>
  </si>
  <si>
    <t xml:space="preserve">Apotek Cahaya </t>
  </si>
  <si>
    <t xml:space="preserve">Klegenwonosari rt 01/rw 04, Klirong-Kebumen </t>
  </si>
  <si>
    <t>085291056666</t>
  </si>
  <si>
    <t>50g/25mg</t>
  </si>
  <si>
    <t>KAI Logistik Kebumen02</t>
  </si>
  <si>
    <t>Jl. Stasiun, Panjer, Kecamatan Kebumen, Kabupaten Kebumen</t>
  </si>
  <si>
    <t>PUTERA</t>
  </si>
  <si>
    <t>PT.ALAM NUSA ANAYA</t>
  </si>
  <si>
    <t>Jl. K.H.Hasyim Asy’ari KM 5 Dk.Robahan Rt.01 Rw.07 Ds.Kalirejo Kec.Kebumen Kab.Kebumen</t>
  </si>
  <si>
    <t>081210076645</t>
  </si>
  <si>
    <t>VD2103123</t>
  </si>
  <si>
    <t>100 kg / 0,01 kg</t>
  </si>
  <si>
    <t>SPBE GIRI SELOMAS SEJAHTERA</t>
  </si>
  <si>
    <t>Jl. Raya Gombong Barat km.3 Purbowangi, Kecamatan Buayan, Kabupaten Kebumen</t>
  </si>
  <si>
    <t>DB-IS-150</t>
  </si>
  <si>
    <t>DB25058152</t>
  </si>
  <si>
    <t>https://drive.google.com/open?id=1zrvhZZOIwZiXE4Oak5NlolJ3w9jBWfg-</t>
  </si>
  <si>
    <t>SPBE GIRI SELOMAS SEJAHTERA,</t>
  </si>
  <si>
    <t>DB25039348</t>
  </si>
  <si>
    <t>https://drive.google.com/open?id=18n2f3guJwu1INzyiltlQNhnpj4DHdaYN</t>
  </si>
  <si>
    <t>Apotek Demangsari</t>
  </si>
  <si>
    <t>Jalan Raya Ijo-Jatijajar RT 002/RW 005, Desa Demangsari, Kecamatan Ayah, Kabupaten Kebumen</t>
  </si>
  <si>
    <t>082261639872</t>
  </si>
  <si>
    <t>E2504030512</t>
  </si>
  <si>
    <t>Apotek Untung Farma</t>
  </si>
  <si>
    <t xml:space="preserve">Dk. Purwogondo RT 03 RW 03, Ds. Kalipurwo, Kecamatan Kuwarasan, Kabupaten Kebumen </t>
  </si>
  <si>
    <t>082135961247</t>
  </si>
  <si>
    <t xml:space="preserve">PT. DANTA PERKASA KEBUMEN </t>
  </si>
  <si>
    <t xml:space="preserve">Jl. Raya Kebumen, Desa Kuwayuhan, Kecamatan Pejagoan, Kabupaten Kebumen </t>
  </si>
  <si>
    <t>085753239223</t>
  </si>
  <si>
    <t>Sayaki</t>
  </si>
  <si>
    <t>IMIWH12-220300196</t>
  </si>
  <si>
    <t>9000 kg x 2 kg</t>
  </si>
  <si>
    <t xml:space="preserve">Sayaki </t>
  </si>
  <si>
    <t>IMIWH12-220300194</t>
  </si>
  <si>
    <t>2000 kg x 1 kg</t>
  </si>
  <si>
    <t>Pertashop 4P.54344 (CV. Lintas Angkasa Raya)</t>
  </si>
  <si>
    <t>Desa Ampih, Kecamatan Buluspesantren, Kabupaten Kebumen</t>
  </si>
  <si>
    <t>085184807800</t>
  </si>
  <si>
    <t>ES-5552</t>
  </si>
  <si>
    <t xml:space="preserve">Trio Azana Hotel Kebumen </t>
  </si>
  <si>
    <t xml:space="preserve">Jl. HM Sarbini No.109, Gunungmujil, Bumirejo, Kec. Kebumen, Kabupaten Kebumen, Jawa Tengah 54316 </t>
  </si>
  <si>
    <t>083861727138</t>
  </si>
  <si>
    <t>AXLO</t>
  </si>
  <si>
    <t>A-940</t>
  </si>
  <si>
    <t>ACS</t>
  </si>
  <si>
    <t>40kg</t>
  </si>
  <si>
    <t>https://drive.google.com/open?id=1Uj6Nd6FxBh5BKtuyTUFeE9F5VX62pC55</t>
  </si>
  <si>
    <t>Suyanto</t>
  </si>
  <si>
    <t>Desa Adimulyo Dukuh Kalisawah RT 5 RW 4 Adimulyo Kebumen</t>
  </si>
  <si>
    <t>08989393416</t>
  </si>
  <si>
    <t>K24 Gombong</t>
  </si>
  <si>
    <t>Jl. Yos Sudarso No. 451 Wonokriyo, Gombong, Kebumen</t>
  </si>
  <si>
    <t>085385563223</t>
  </si>
  <si>
    <t>22C214</t>
  </si>
  <si>
    <t>100 g / 50 mg</t>
  </si>
  <si>
    <t xml:space="preserve">Apotek Permata Qolbu </t>
  </si>
  <si>
    <t>Ds.Sidoharum RT 03 RW 01, Kecamatam Sempor, Kabupaten Kebumen</t>
  </si>
  <si>
    <t>081328279430</t>
  </si>
  <si>
    <t>E250703225</t>
  </si>
  <si>
    <t>500 g / 0.1 g</t>
  </si>
  <si>
    <t>nomor WA tidak bisa dihubungi, mencoba menggunakan nomor WA di Google</t>
  </si>
  <si>
    <t>Apotek K-24 Pemuda</t>
  </si>
  <si>
    <t>Jalan Pemuda No 138 RT 04 RW 02 Kelurahan Panjer, Kecamatan Kebumen, Kabupaten Kebumen</t>
  </si>
  <si>
    <t>085293346597</t>
  </si>
  <si>
    <t>17D334</t>
  </si>
  <si>
    <t>Apotek Indomoro</t>
  </si>
  <si>
    <t>Jl. Karanggayam No. 1 RT 01 / RW 02, Kecamatan Karanggayam, Kabupaten Kebumen</t>
  </si>
  <si>
    <t>082225283833</t>
  </si>
  <si>
    <t>C260301151</t>
  </si>
  <si>
    <t xml:space="preserve">Pertashop 4P.54333 (CV. Serayu Mitra Energi) </t>
  </si>
  <si>
    <t xml:space="preserve">SANKI </t>
  </si>
  <si>
    <t>111AW214122</t>
  </si>
  <si>
    <t>Adimulyo Kalisawah</t>
  </si>
  <si>
    <t>Amin Susanto</t>
  </si>
  <si>
    <t>Dukuh Karanganyar, Kecamatan Wadaslintang, Kabupaten Kebumen</t>
  </si>
  <si>
    <t>081327333801</t>
  </si>
  <si>
    <t xml:space="preserve">110 kg / 0,5 kg </t>
  </si>
  <si>
    <t>Mudrik</t>
  </si>
  <si>
    <t>Petanahan</t>
  </si>
  <si>
    <t>081466769721</t>
  </si>
  <si>
    <t>Rex Scale</t>
  </si>
  <si>
    <t>A59091</t>
  </si>
  <si>
    <t>Apotek Alam Medika</t>
  </si>
  <si>
    <t xml:space="preserve">Desa Klopogodo RT 01 RW 02, Kecamatan Sruweng, Kabupaten Kebumen </t>
  </si>
  <si>
    <t>085643285075</t>
  </si>
  <si>
    <t>C260301153</t>
  </si>
  <si>
    <t xml:space="preserve">  </t>
  </si>
  <si>
    <t>SKHP</t>
  </si>
  <si>
    <t>Nama Pemilik</t>
  </si>
  <si>
    <t>Merk</t>
  </si>
  <si>
    <t>UTTP</t>
  </si>
  <si>
    <t>Tanggal Uji</t>
  </si>
  <si>
    <t>Cap Tanda Tera</t>
  </si>
  <si>
    <t>Keterangan</t>
  </si>
  <si>
    <t>Nomor</t>
  </si>
  <si>
    <t>Tanggal</t>
  </si>
  <si>
    <t>Type</t>
  </si>
  <si>
    <t>Seri</t>
  </si>
  <si>
    <t>Kapasitas/DB</t>
  </si>
  <si>
    <t>TE-001/I/500.2.3.15/3/2026</t>
  </si>
  <si>
    <t>SL6 (26)</t>
  </si>
  <si>
    <t>TE-002/I/500.2.3.15/6/2026</t>
  </si>
  <si>
    <t>SL4 (26)</t>
  </si>
  <si>
    <t>TE-003/I/500.2.3.15/7/2026</t>
  </si>
  <si>
    <t>SP6 (26)</t>
  </si>
  <si>
    <t>TE-004/I/500.2.3.15/8/2026</t>
  </si>
  <si>
    <t>DL-001/I/500.2.3.15/9/2026</t>
  </si>
  <si>
    <t>TS-001/I/500.2.3.15/10/2026</t>
  </si>
  <si>
    <t>SP6 (26), JP8, H (np)</t>
  </si>
  <si>
    <t>PU-001/I/500.2.3.15/11/2026</t>
  </si>
  <si>
    <t>TE-005/I/500.2.3.15/18/2026</t>
  </si>
  <si>
    <t>PU-002/I/500.2.3.15/17/2026</t>
  </si>
  <si>
    <t>TE-006/I/500.2.3.15/16/2026</t>
  </si>
  <si>
    <t>TE-007/I/500.2.3.15/15/2026</t>
  </si>
  <si>
    <t>TE-008/I/500.2.3.15/14/2026</t>
  </si>
  <si>
    <t>TE-009/I/500.2.3.15/13/2026</t>
  </si>
  <si>
    <t>TE-010/I/500.2.3.15/12/2026</t>
  </si>
  <si>
    <t>PU-003/I/500.2.3.15/22/2026</t>
  </si>
  <si>
    <t>SP6 (26), H (np), JP8</t>
  </si>
  <si>
    <t>PU-004/I/500.2.3.15/21/2026</t>
  </si>
  <si>
    <t>TE-011/I/500.2.3.15/25/2026</t>
  </si>
  <si>
    <t>TP-001/I/500.2.3.15/26/2026</t>
  </si>
  <si>
    <t>TE-012/I/500.2.3.15/27/2026</t>
  </si>
  <si>
    <t>TE-013/I/500.2.3.15/30/2026</t>
  </si>
  <si>
    <t>TE-014/I/500.2.3.15/28/2026</t>
  </si>
  <si>
    <t>TE-015/I/500.2.3.15/29/2026</t>
  </si>
  <si>
    <t>AT-001/I/500.2.3.15/31/2026</t>
  </si>
  <si>
    <t>TE-016/I/500.2.3.15/32/2026</t>
  </si>
  <si>
    <t>PU-005/I/500.2.3.15/33/2026</t>
  </si>
  <si>
    <t>TP-002/I/500.2.3.15/36/2026</t>
  </si>
  <si>
    <t>TE-017/I/500.2.3.15/37/2026</t>
  </si>
  <si>
    <t>PU-006/I/500.2.3.15/38/2026</t>
  </si>
  <si>
    <t>TE-018/I/500.2.3.15/45/2026</t>
  </si>
  <si>
    <t>TE-019/I/500.2.3.15/46/2026</t>
  </si>
  <si>
    <t>PU-007/I/500.2.3.15/47/2026</t>
  </si>
  <si>
    <t>N-001/I/500.2.3.15/48/2026</t>
  </si>
  <si>
    <t>N-002/I/500.2.3.15/49/2026</t>
  </si>
  <si>
    <t>TE-020/I/500.2.3.15/54/2026</t>
  </si>
  <si>
    <t>PU-008/I/500.2.3.15/55/2026</t>
  </si>
  <si>
    <t>TE-021/I/500.2.3.15/56/2026</t>
  </si>
  <si>
    <t>AT-002/I/500.2.3.15/58/2026</t>
  </si>
  <si>
    <t>PU-009/I/500.2.3.15/57/2026</t>
  </si>
  <si>
    <t>SL6 (26), H (np), JP8</t>
  </si>
  <si>
    <t>N-003/I/500.2.3.15/59/2026</t>
  </si>
  <si>
    <t>TE-022/I/500.2.3.15/60/2026</t>
  </si>
  <si>
    <t>PU-010/I/500.2.3.15/63/2026</t>
  </si>
  <si>
    <t>PU-011/I/500.2.3.15/66/2026</t>
  </si>
  <si>
    <t>N-004/I/500.2.3.15/67/2026</t>
  </si>
  <si>
    <t>PU-012/I/500.2.3.15/70/2026</t>
  </si>
  <si>
    <t>TE-023/I/500.2.3.15/71/2026</t>
  </si>
  <si>
    <t>TE-024/I/500.2.3.15/76/2026</t>
  </si>
  <si>
    <t>TE-025/I/500.2.3.15/77/2026</t>
  </si>
  <si>
    <t>PU-013/I/500.2.3.15/78/2026</t>
  </si>
  <si>
    <t>PU-014/I/500.2.3.15/79/2026</t>
  </si>
  <si>
    <t>PU-015/I/500.2.3.15/82/2026</t>
  </si>
  <si>
    <t>PU-016/I/500.2.3.15/83/2026</t>
  </si>
  <si>
    <t>PU-017/I/500.2.3.15/86/2026</t>
  </si>
  <si>
    <t>TE-026/I/500.2.3.15/87/2026</t>
  </si>
  <si>
    <t>PU-018/I/500.2.3.15/88/2026</t>
  </si>
  <si>
    <t>PU-019/I/500.2.3.15/89/2026</t>
  </si>
  <si>
    <t>N-005/I/500.2.3.15/90/2026</t>
  </si>
  <si>
    <t>TE-027/II/500.2.3.15/94/2026</t>
  </si>
  <si>
    <t>PU-020/II/500.2.3.15/99/2026</t>
  </si>
  <si>
    <t>PU-021/II/500.2.3.15/100/2026</t>
  </si>
  <si>
    <t>PU-022/II/500.2.3.15/103/2026</t>
  </si>
  <si>
    <t>PU-023/II/500.2.3.15/105/2026</t>
  </si>
  <si>
    <t>TE-028/II/500.2.3.15/106/2026</t>
  </si>
  <si>
    <t>PU-024/II/500.2.3.15/109/2026</t>
  </si>
  <si>
    <t>PU-025/II/500.2.3.15/113/2026</t>
  </si>
  <si>
    <t>PU-026/II/500.2.3.15/116/2026</t>
  </si>
  <si>
    <t>SP6 (26), JP8, D4 (173), H (np), SL4 (26)</t>
  </si>
  <si>
    <t>N-006/I/500.2.3.15/117/2026</t>
  </si>
  <si>
    <t>TE-029/II/500.2.3.15/121/2026</t>
  </si>
  <si>
    <t>TE-030/II/500.2.3.15/122/2026</t>
  </si>
  <si>
    <t>PU-027/II/500.2.3.15/125/2026</t>
  </si>
  <si>
    <t>PU-028/II/500.2.3.15/126/2026</t>
  </si>
  <si>
    <t>TS-002/II/500.2.3.15/127/2026</t>
  </si>
  <si>
    <t>PU-029/II/500.2.3.15/130/2026</t>
  </si>
  <si>
    <t>PU-030/II/500.2.3.15/133/2026</t>
  </si>
  <si>
    <t>TE-031/II/500.2.3.15/135/2026</t>
  </si>
  <si>
    <t>TE-032/II/500.2.3.15/136/2026</t>
  </si>
  <si>
    <t>N-007/I/500.2.3.15/136/2026</t>
  </si>
  <si>
    <t>N-008/I/500.2.3.15/137/2026</t>
  </si>
  <si>
    <t>TE-033/II/500.2.3.15/139/2026</t>
  </si>
  <si>
    <t>TE-034/II/500.2.3.15/138/2026</t>
  </si>
  <si>
    <t>TS-003/II/500.2.3.15/140/2026</t>
  </si>
  <si>
    <t>PU-031/II/500.2.3.15/146/2026</t>
  </si>
  <si>
    <t>PU-032/II/500.2.3.15/145/2026</t>
  </si>
  <si>
    <t>PU-033/II/500.2.3.15/147/2026</t>
  </si>
  <si>
    <t>PU-034/II/500.2.3.15/148/2026</t>
  </si>
  <si>
    <t>PU-035/II/500.2.3.15/153/2026</t>
  </si>
  <si>
    <t>PU-036/II/500.2.3.15/154/2026</t>
  </si>
  <si>
    <t>PU-037/II/500.2.3.15/155/2026</t>
  </si>
  <si>
    <t>TE-035/II/500.2.3.15/157/2026</t>
  </si>
  <si>
    <t>TP-003/II/500.2.3.15/158/2026</t>
  </si>
  <si>
    <t>TE-036/III/500.2.3.15/159/2026</t>
  </si>
  <si>
    <t>AT-003/III/500.2.3.15/160/2026</t>
  </si>
  <si>
    <t>TP-004/III/500.2.3.15/161/2026</t>
  </si>
  <si>
    <t>TE-037/III/500.2.3.15/162/2026</t>
  </si>
  <si>
    <t>TE-038/III/500.2.3.15/164/2026</t>
  </si>
  <si>
    <t>TE-039/III/500.2.3.15/163/2026</t>
  </si>
  <si>
    <t>PU-038/III/500.2.3.15/167/2026</t>
  </si>
  <si>
    <t>PU-039/III/500.2.3.15/168/2026</t>
  </si>
  <si>
    <t>PU-040/III/500.2.3.15/169/2026</t>
  </si>
  <si>
    <t>PU-041/III/500.2.3.15/170/2026</t>
  </si>
  <si>
    <t>N-009/III/500.2.3.15/173/2026</t>
  </si>
  <si>
    <t>TP-005/III/500.2.3.15/174/2026</t>
  </si>
  <si>
    <t>PU-042/III/500.2.3.15/177/2026</t>
  </si>
  <si>
    <t>PU-043/III/500.2.3.15/178/2026</t>
  </si>
  <si>
    <t>PU-044/III/500.2.3.15/179/2026</t>
  </si>
  <si>
    <t>PU-045/III/500.2.3.15/180/2026</t>
  </si>
  <si>
    <t>PU-046/III/500.2.3.15/181/2026</t>
  </si>
  <si>
    <t>PU-047/III/500.2.3.15/182/2026</t>
  </si>
  <si>
    <t>PU-048/III/500.2.3.15/183/2026</t>
  </si>
  <si>
    <t>PU-049/III/500.2.3.15/184/2026</t>
  </si>
  <si>
    <t>PU-050/III/500.2.3.15/189/2026</t>
  </si>
  <si>
    <t>PU-051/III/500.2.3.15/190/2026</t>
  </si>
  <si>
    <t>PU-052/III/500.2.3.15/191/2026</t>
  </si>
  <si>
    <t>PU-053/III/500.2.3.15/192/2026</t>
  </si>
  <si>
    <t>PU-054/III/500.2.3.15/195/2026</t>
  </si>
  <si>
    <t>PU-055/III/500.2.3.15/198/2026</t>
  </si>
  <si>
    <t>PU-056/III/500.2.3.15/199/2026</t>
  </si>
  <si>
    <t>PU-057/III/500.2.3.15/200/2026</t>
  </si>
  <si>
    <t>PU-058/III/500.2.3.15/201/2026</t>
  </si>
  <si>
    <t>PU-059/III/500.2.3.15/204/2026</t>
  </si>
  <si>
    <t>PU-060/III/500.2.3.15/205/2026</t>
  </si>
  <si>
    <t>PU-061/III/500.2.3.15/206/2026</t>
  </si>
  <si>
    <t>N-010/III/500.2.3.15/211/2026</t>
  </si>
  <si>
    <t>PU-062/III/500.2.3.15/212/2026</t>
  </si>
  <si>
    <t>PU-063/III/500.2.3.15/213/2026</t>
  </si>
  <si>
    <t>PU-064/III/500.2.3.15/214/2026</t>
  </si>
  <si>
    <t>PU-065/III/500.2.3.15/215/2026</t>
  </si>
  <si>
    <t>PU-066/III/500.2.3.15/216/2026</t>
  </si>
  <si>
    <t>PU-067/III/500.2.3.15/217/2026</t>
  </si>
  <si>
    <t>TP-006/III/500.2.3.15/218/2026</t>
  </si>
  <si>
    <t>TE-040/III/500.2.3.15/219/2026</t>
  </si>
  <si>
    <t>PU-068/III/500.2.3.15/224/2026</t>
  </si>
  <si>
    <t>PU-069/III/500.2.3.15/227/2026</t>
  </si>
  <si>
    <t>PU-070/III/500.2.3.15/226/2026</t>
  </si>
  <si>
    <t>PU-071/III/500.2.3.15/228/2026</t>
  </si>
  <si>
    <t>PU-072/III/500.2.3.15/229/2026</t>
  </si>
  <si>
    <t>PU-073/III/500.2.3.15/230/2026</t>
  </si>
  <si>
    <t>TE-041/IV/500.2.3.15/232/2026</t>
  </si>
  <si>
    <t>N-011/IV/500.2.3.15/234/2026</t>
  </si>
  <si>
    <t>TE-042/IV/500.2.3.15/241/2026</t>
  </si>
  <si>
    <t>TE-043/IV/500.2.3.15/242/2026</t>
  </si>
  <si>
    <t>TE-044/IV/500.2.3.15/249/2026</t>
  </si>
  <si>
    <t>TE-045/IV/500.2.3.15/248/2026</t>
  </si>
  <si>
    <t>TE-046/IV/500.2.3.15/257/2026</t>
  </si>
  <si>
    <t>TE-047/IV/500.2.3.15/258/2026</t>
  </si>
  <si>
    <t>TE-048/IV/500.2.3.15/259/2026</t>
  </si>
  <si>
    <t>TE-049/IV/500.2.3.15/260/2026</t>
  </si>
  <si>
    <t>TE-050/IV/500.2.3.15/261/2026</t>
  </si>
  <si>
    <t>TE-051/IV/500.2.3.15/262/2026</t>
  </si>
  <si>
    <t>TE-052/IV/500.2.3.15/263/2026</t>
  </si>
  <si>
    <t>TE-053/IV/500.2.3.15/264/2026</t>
  </si>
  <si>
    <t>TE-054/IV/500.2.3.15/265/2026</t>
  </si>
  <si>
    <t>TE-055/IV/500.2.3.15/267/2026</t>
  </si>
  <si>
    <t>TE-056/IV/500.2.3.15/266/2026</t>
  </si>
  <si>
    <t>TE-057/IV/500.2.3.15/270/2026</t>
  </si>
  <si>
    <t>N-012/IV/500.2.3.15/273/2026</t>
  </si>
  <si>
    <t>TE-058/IV/500.2.3.15/274/2026</t>
  </si>
  <si>
    <t>TE-059/IV/500.2.3.15/282/2026</t>
  </si>
  <si>
    <t>TE-060/IV/500.2.3.15/285/2026</t>
  </si>
  <si>
    <t>TE-061/IV/500.2.3.15/286/2026</t>
  </si>
  <si>
    <t>TE-062/IV/500.2.3.15/292/2026</t>
  </si>
  <si>
    <t>TE-063/V/500.2.3.15/296/2026</t>
  </si>
  <si>
    <t>TE-064/V/500.2.3.15/301/2026</t>
  </si>
  <si>
    <t>TE-065/V/500.2.3.15/304/2026</t>
  </si>
  <si>
    <t>TE-067/V/500.2.3.15/306/2026</t>
  </si>
  <si>
    <t>TE-066/V/500.2.3.15/305/2026</t>
  </si>
  <si>
    <t>TE-068/V/500.2.3.15/307/2026</t>
  </si>
  <si>
    <t>TE-069/V/500.2.3.15/308/2026</t>
  </si>
  <si>
    <t>N-013/V/500.2.3.15/311/2026</t>
  </si>
  <si>
    <t>TE-070/V/500.2.3.15/315/2026</t>
  </si>
  <si>
    <t>TE-071/V/500.2.3.15/316/2026</t>
  </si>
  <si>
    <t>TE-072/V/500.2.3.15/318/2026</t>
  </si>
  <si>
    <t>TE-073/V/500.2.3.15/322/2026</t>
  </si>
  <si>
    <t>TE-074/V/500.2.3.15/332/2026</t>
  </si>
  <si>
    <t>N-014/V/500.2.3.15/335/2026</t>
  </si>
  <si>
    <t>TE-075/V/500.2.3.15/336/2026</t>
  </si>
  <si>
    <t>TS-004/V/500.2.3.15/337/2026</t>
  </si>
  <si>
    <t>TP-007/V/500.2.3.15/338/2026</t>
  </si>
  <si>
    <t>SP6 (26), JP8</t>
  </si>
  <si>
    <t>TE-076/VI/500.2.3.15/341/2026</t>
  </si>
  <si>
    <t>TE-077/VI/500.2.3.15/342/2026</t>
  </si>
  <si>
    <t>TE-078/VI/500.2.3.15/345/2026</t>
  </si>
  <si>
    <t>TE-079/VI/500.2.3.15/354/2026</t>
  </si>
  <si>
    <t>TS-005/VI/500.2.3.15/357/2026</t>
  </si>
  <si>
    <t>N-015/VI/500.2.3.15/358/2026</t>
  </si>
  <si>
    <t>TE-080/VI/500.2.3.15/365/2026</t>
  </si>
  <si>
    <t>TE-081/VI/500.2.3.15/370/2026</t>
  </si>
  <si>
    <t>TE-082/VI/500.2.3.15/371/2026</t>
  </si>
  <si>
    <t>N-016/VI/500.2.3.15/372/2026</t>
  </si>
  <si>
    <t>N-017/VI/500.2.3.15/378/2026</t>
  </si>
  <si>
    <t>TE-083/VI/500.2.3.15/379/2026</t>
  </si>
  <si>
    <t>TE-084/VI/500.2.3.15/384/2026</t>
  </si>
  <si>
    <t>TS-006/VII/500.2.3.15/387/2026</t>
  </si>
  <si>
    <t>N-018/VII/500.2.3.15/390/2026</t>
  </si>
  <si>
    <t>TS-007/VII/500.2.3.15/391/2026</t>
  </si>
  <si>
    <t>TE-085/VII/500.2.3.15/392/2026</t>
  </si>
  <si>
    <t>TE-086/VII/500.2.3.15/--/2026</t>
  </si>
  <si>
    <t>TE-087/VII/500.2.3.15/--/2026</t>
  </si>
  <si>
    <t>N-019/VII/500.2.3.15/--/2026</t>
  </si>
  <si>
    <t>TE-088/VII/500.2.3.15/402/2026</t>
  </si>
  <si>
    <t>PU-074/VII/500.2.3.15/411/2026</t>
  </si>
  <si>
    <t>TE-089/VII/500.2.3.15/402/2026</t>
  </si>
  <si>
    <t>TE-090/VII/500.2.3.15/417/2026</t>
  </si>
  <si>
    <t>TE-091/VII/500.2.3.15/421/2026</t>
  </si>
  <si>
    <t>N-020/VII/500.2.3.15/424/2026</t>
  </si>
  <si>
    <t>N-021/VII/500.2.3.15/427/2026</t>
  </si>
  <si>
    <t>DL-002/VII/500.2.3.15/432/2026</t>
  </si>
  <si>
    <t>TE-092/VII/500.2.3.15/433/2026</t>
  </si>
  <si>
    <t>autocratn</t>
  </si>
  <si>
    <t>autocratp</t>
  </si>
  <si>
    <t>dataSheetName</t>
  </si>
  <si>
    <t>"Form Responses 1"</t>
  </si>
  <si>
    <t>v</t>
  </si>
  <si>
    <t>"5.1"</t>
  </si>
  <si>
    <t>dataSheetId</t>
  </si>
  <si>
    <t>"1.689868182E9"</t>
  </si>
  <si>
    <t>updateTime</t>
  </si>
  <si>
    <t>"1.780016951083E12"</t>
  </si>
  <si>
    <t>vp</t>
  </si>
  <si>
    <t>ssId</t>
  </si>
  <si>
    <t>"1Q7eYM-0OaR3yipkffl29x8iKtPYfGH8IDzDvPTVYEe4"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</si>
  <si>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</si>
  <si>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</si>
  <si>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</si>
  <si>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</si>
  <si>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</si>
  <si>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</si>
  <si>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</si>
  <si>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</si>
  <si>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</si>
  <si>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</si>
  <si>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</si>
  <si>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</si>
  <si>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</si>
  <si>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</si>
  <si>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</si>
  <si>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</si>
  <si>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</si>
  <si>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</si>
  <si>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</si>
  <si>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</si>
  <si>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</si>
  <si>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</si>
  <si>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</si>
  <si>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</si>
  <si>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</si>
  <si>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</si>
  <si>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</si>
  <si>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</si>
  <si>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</si>
  <si>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_1766454756496</t>
  </si>
  <si>
    <t>AutoCrat Demo Job</t>
  </si>
  <si>
    <t>1AkuWiPbtXLR_HqaguT82EnK3Og1XcN2IxNsUDlaBnOs</t>
  </si>
  <si>
    <t>Demo merge job run on &lt;&lt;NOW&gt;&gt;</t>
  </si>
  <si>
    <t>GOOG_DOC</t>
  </si>
  <si>
    <t>EDITABLE</t>
  </si>
  <si>
    <t>["1ZUpARtCkyT-m-NGzjfxq5qkm8cqqIHRA"]</t>
  </si>
  <si>
    <t>[]</t>
  </si>
  <si>
    <t>MULTIPLE_OUTPUT</t>
  </si>
  <si>
    <t>[{"tag":"Image URL","type":"IMAGE","details":{"headerMap":"Image URL","imageHeight":"&lt;&lt;Image Height&gt;&gt;","imageWidth":"&lt;&lt;Image Width&gt;&gt;"}},{"tag":"Image description","type":"STANDARD","details":{"headerMap":"Image description"}},{"tag":"Cloudlab URL","type":"LINK","details":{"headerMap":"Cloudlab URL","linkLabel":"Cloudlab"}},{"tag":"New Visions URL","type":"LINK","details":{"headerMap":"New Visions URL","linkLabel":"&lt;&lt;NVPS Link Label&gt;&gt;"}},{"tag":"TODAY","type":"BONUS","details":{}},{"tag":"TODAY","type":"BONUS","details":{}}]</t>
  </si>
  <si>
    <t>metrologikebumen@gmail.com</t>
  </si>
  <si>
    <t>AutoCrat Demo Merge run on &lt;&lt;TODAY&gt;&gt;</t>
  </si>
  <si>
    <t>Your document is ready!
&lt;&lt;Closing&gt;&gt;</t>
  </si>
  <si>
    <t>Januari</t>
  </si>
  <si>
    <t>Bulan</t>
  </si>
  <si>
    <t>Februari</t>
  </si>
  <si>
    <t>Maret</t>
  </si>
  <si>
    <t>April</t>
  </si>
  <si>
    <t>Mei</t>
  </si>
  <si>
    <t>Juni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</si>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</sst>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&quot;/&quot;mm&quot;/&quot;yy"/>
    <numFmt numFmtId="165" formatCode="m/d/yyyy\ h:mm:ss"/>
    <numFmt numFmtId="166" formatCode="d\-m\-yyyy"/>
    <numFmt numFmtId="167" formatCode="d\-m\-yy"/>
    <numFmt numFmtId="168" formatCode="dd\-mm\-yyyy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rgb="FF434343"/>
      <name val="Roboto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&quot;Arial&quot;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rgb="FFB381D9"/>
        <bgColor rgb="FF5B3F86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4" fillId="2" borderId="0" xfId="0" applyFont="1" applyFill="1" applyAlignment="1">
      <alignment vertical="center"/>
    </xf>
    <xf numFmtId="165" fontId="1" fillId="0" borderId="0" xfId="0" applyNumberFormat="1" applyFont="1" applyAlignment="1"/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/>
    </xf>
    <xf numFmtId="0" fontId="7" fillId="0" borderId="0" xfId="0" applyFont="1" applyAlignment="1"/>
    <xf numFmtId="0" fontId="8" fillId="0" borderId="0" xfId="0" applyFont="1" applyAlignment="1"/>
    <xf numFmtId="166" fontId="1" fillId="0" borderId="0" xfId="0" applyNumberFormat="1" applyFont="1" applyAlignment="1"/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/>
    <xf numFmtId="166" fontId="7" fillId="0" borderId="0" xfId="0" applyNumberFormat="1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/>
    <xf numFmtId="0" fontId="7" fillId="0" borderId="0" xfId="0" applyFont="1" applyAlignment="1"/>
    <xf numFmtId="0" fontId="1" fillId="2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wrapText="1"/>
    </xf>
    <xf numFmtId="167" fontId="1" fillId="0" borderId="0" xfId="0" applyNumberFormat="1" applyFont="1" applyAlignment="1"/>
    <xf numFmtId="0" fontId="1" fillId="2" borderId="0" xfId="0" applyFont="1" applyFill="1" applyAlignment="1">
      <alignment wrapText="1"/>
    </xf>
    <xf numFmtId="0" fontId="7" fillId="0" borderId="0" xfId="0" applyFont="1" applyAlignment="1">
      <alignment horizontal="center"/>
    </xf>
    <xf numFmtId="168" fontId="1" fillId="0" borderId="0" xfId="0" applyNumberFormat="1" applyFont="1" applyAlignment="1"/>
    <xf numFmtId="0" fontId="1" fillId="0" borderId="0" xfId="0" applyFont="1" applyAlignment="1">
      <alignment wrapText="1"/>
    </xf>
    <xf numFmtId="0" fontId="3" fillId="2" borderId="1" xfId="0" applyFont="1" applyFill="1" applyBorder="1" applyAlignment="1"/>
    <xf numFmtId="0" fontId="3" fillId="4" borderId="1" xfId="0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/>
    <xf numFmtId="0" fontId="5" fillId="3" borderId="3" xfId="0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5B3F86"/>
          <bgColor rgb="FFB381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8F9FA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8F9FA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8F9FA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5B3F86"/>
        </top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name="Form Responses 1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Form Responses 1-style 2" pivot="0" count="2">
      <tableStyleElement type="firstRowStripe" dxfId="10"/>
      <tableStyleElement type="secondRowStripe" dxfId="9"/>
    </tableStyle>
    <tableStyle name="MASTER SKHP 2026-style" pivot="0" count="2">
      <tableStyleElement type="firstRowStripe" dxfId="8"/>
      <tableStyleElement type="secondRowStripe" dxfId="7"/>
    </tableStyle>
    <tableStyle name="MASTER SKHP 2026-style 2" pivot="0" count="2">
      <tableStyleElement type="firstRowStripe" dxfId="6"/>
      <tableStyleElement type="secondRowStripe" dxfId="5"/>
    </tableStyle>
    <tableStyle name="Table Style 1" pivot="0" count="0"/>
  </tableStyles>
  <colors>
    <mruColors>
      <color rgb="FFB38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K363">
  <autoFilter ref="A1:K363"/>
  <tableColumns count="11">
    <tableColumn id="1" name="Timestamp"/>
    <tableColumn id="2" name="Nama / Perusahaan"/>
    <tableColumn id="3" name="Alamat"/>
    <tableColumn id="4" name="No. Telp./HP (tulis dengan format 08xxx)"/>
    <tableColumn id="5" name="Jenis Pesanan"/>
    <tableColumn id="6" name="Jenis UTTP"/>
    <tableColumn id="7" name="Merk (Jika tidak ada isi -)"/>
    <tableColumn id="8" name="Tipe (Jika tidak ada isi -)"/>
    <tableColumn id="9" name="No. Seri (Jika tidak ada isi -)"/>
    <tableColumn id="10" name="Kapasitas / Skala Terkecil (tuliskan satuan kg/g)"/>
    <tableColumn id="11" name="Upload foto UTTP (sebelum pengujian)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365:K38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orm Responses 1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D212:D300" headerRowCount="0">
  <tableColumns count="1">
    <tableColumn id="1" name="Column1"/>
  </tableColumns>
  <tableStyleInfo name="MASTER SKHP 2026-style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D308:D340" headerRowCount="0">
  <tableColumns count="1">
    <tableColumn id="1" name="Column1"/>
  </tableColumns>
  <tableStyleInfo name="MASTER SKHP 2026-style 2" showFirstColumn="1" showLastColumn="1" showRowStripes="1" showColumnStripes="0"/>
</table>
</file>

<file path=xl/tables/table5.xml><?xml version="1.0" encoding="utf-8"?>
<table xmlns="http://schemas.openxmlformats.org/spreadsheetml/2006/main" id="5" name="Table5" displayName="Table5" ref="A1:B363" totalsRowShown="0" headerRowDxfId="0" dataDxfId="1" tableBorderDxfId="4">
  <autoFilter ref="A1:B363"/>
  <tableColumns count="2">
    <tableColumn id="1" name="Jenis UTTP" dataDxfId="3"/>
    <tableColumn id="2" name="Bulan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lHQRriaGyFUWOWwTdgBW_jrJJEH9LB_t" TargetMode="External"/><Relationship Id="rId18" Type="http://schemas.openxmlformats.org/officeDocument/2006/relationships/hyperlink" Target="https://drive.google.com/open?id=1cpoGEfiPqxhjBkKo4ihewQ5f_cOFaxae" TargetMode="External"/><Relationship Id="rId26" Type="http://schemas.openxmlformats.org/officeDocument/2006/relationships/hyperlink" Target="https://drive.google.com/open?id=192zj_xdHyyI6uodD7UeR2pjTkJE-Qzqk" TargetMode="External"/><Relationship Id="rId39" Type="http://schemas.openxmlformats.org/officeDocument/2006/relationships/hyperlink" Target="https://drive.google.com/open?id=1wddUyCogu6xHLG5iX-Ek__zUsjrErhNC" TargetMode="External"/><Relationship Id="rId21" Type="http://schemas.openxmlformats.org/officeDocument/2006/relationships/hyperlink" Target="https://drive.google.com/open?id=1bwEfwkfq0YUi2vAZSCa4_YEHEtqg668F" TargetMode="External"/><Relationship Id="rId34" Type="http://schemas.openxmlformats.org/officeDocument/2006/relationships/hyperlink" Target="https://drive.google.com/open?id=1lY4MbjmWWY9jndfKIm7rwzzhDmX0Qt5U" TargetMode="External"/><Relationship Id="rId42" Type="http://schemas.openxmlformats.org/officeDocument/2006/relationships/hyperlink" Target="https://drive.google.com/open?id=1hc9goFft57jTaY5f9-NcZDKNzAbRcXOW" TargetMode="External"/><Relationship Id="rId47" Type="http://schemas.openxmlformats.org/officeDocument/2006/relationships/hyperlink" Target="https://drive.google.com/open?id=1uQgWItE9CjSJCM3ZsGJOc7EVBXvraV8n" TargetMode="External"/><Relationship Id="rId50" Type="http://schemas.openxmlformats.org/officeDocument/2006/relationships/hyperlink" Target="https://drive.google.com/open?id=1taq36lKNugP1x90urokZflx3UNbg66so" TargetMode="External"/><Relationship Id="rId55" Type="http://schemas.openxmlformats.org/officeDocument/2006/relationships/table" Target="../tables/table2.xml"/><Relationship Id="rId7" Type="http://schemas.openxmlformats.org/officeDocument/2006/relationships/hyperlink" Target="https://drive.google.com/open?id=1IpSWfG6TZrBP0SaxKPudO1sU4wZI8MqV" TargetMode="External"/><Relationship Id="rId2" Type="http://schemas.openxmlformats.org/officeDocument/2006/relationships/hyperlink" Target="https://drive.google.com/open?id=1kXX2vYchhm5UmtUU_WUI4nMnhloPP0Aa" TargetMode="External"/><Relationship Id="rId16" Type="http://schemas.openxmlformats.org/officeDocument/2006/relationships/hyperlink" Target="https://drive.google.com/open?id=1zJU6lfy5LgaFy4U-lmHH-8o31eC-LyLH" TargetMode="External"/><Relationship Id="rId29" Type="http://schemas.openxmlformats.org/officeDocument/2006/relationships/hyperlink" Target="https://drive.google.com/open?id=1qva0-Rtfq5D7-orWpwKjfkq4snXaxKtP" TargetMode="External"/><Relationship Id="rId11" Type="http://schemas.openxmlformats.org/officeDocument/2006/relationships/hyperlink" Target="https://drive.google.com/open?id=1iUJwd2oR4YoTL5pqS7Ct5uSuVm9CtghP" TargetMode="External"/><Relationship Id="rId24" Type="http://schemas.openxmlformats.org/officeDocument/2006/relationships/hyperlink" Target="https://drive.google.com/open?id=15dMfV1isi8My6q8Qsr_WAxkkCUDV8VqA" TargetMode="External"/><Relationship Id="rId32" Type="http://schemas.openxmlformats.org/officeDocument/2006/relationships/hyperlink" Target="https://drive.google.com/open?id=1Y2dNN_YQCIYJv4DMBolcvI6xGEoPfSxJ" TargetMode="External"/><Relationship Id="rId37" Type="http://schemas.openxmlformats.org/officeDocument/2006/relationships/hyperlink" Target="https://drive.google.com/open?id=1kuLU8q8g5Qu28hHiQrKlaXI1HLoznT5C" TargetMode="External"/><Relationship Id="rId40" Type="http://schemas.openxmlformats.org/officeDocument/2006/relationships/hyperlink" Target="https://drive.google.com/open?id=1Ic-fy3b8hjSYPqsJXwXlJGE_97pCnMwc" TargetMode="External"/><Relationship Id="rId45" Type="http://schemas.openxmlformats.org/officeDocument/2006/relationships/hyperlink" Target="https://drive.google.com/open?id=1BWRge4qsGLyAhvqnGUNmqQCSu1Lsep9i" TargetMode="External"/><Relationship Id="rId53" Type="http://schemas.openxmlformats.org/officeDocument/2006/relationships/hyperlink" Target="https://drive.google.com/open?id=1Uj6Nd6FxBh5BKtuyTUFeE9F5VX62pC55" TargetMode="External"/><Relationship Id="rId5" Type="http://schemas.openxmlformats.org/officeDocument/2006/relationships/hyperlink" Target="https://drive.google.com/open?id=1TBFTWqjf-Q5mXJRgy3aJLNcWOo1dhICZ" TargetMode="External"/><Relationship Id="rId10" Type="http://schemas.openxmlformats.org/officeDocument/2006/relationships/hyperlink" Target="https://drive.google.com/open?id=1wznJdK-bAw0v4k7Z7WE2OhDOsJay_K87" TargetMode="External"/><Relationship Id="rId19" Type="http://schemas.openxmlformats.org/officeDocument/2006/relationships/hyperlink" Target="https://drive.google.com/open?id=1G28eFl8bO_PLSaeZ7_nVXTplfDJ5NrTK" TargetMode="External"/><Relationship Id="rId31" Type="http://schemas.openxmlformats.org/officeDocument/2006/relationships/hyperlink" Target="https://drive.google.com/open?id=1tuw1cgzol3ZtmVvLGbq2TETA53TFeh2l" TargetMode="External"/><Relationship Id="rId44" Type="http://schemas.openxmlformats.org/officeDocument/2006/relationships/hyperlink" Target="https://drive.google.com/open?id=12ZtAvQxHteGzBT5yOl08kR047fO319v0" TargetMode="External"/><Relationship Id="rId52" Type="http://schemas.openxmlformats.org/officeDocument/2006/relationships/hyperlink" Target="https://drive.google.com/open?id=18n2f3guJwu1INzyiltlQNhnpj4DHdaYN" TargetMode="External"/><Relationship Id="rId4" Type="http://schemas.openxmlformats.org/officeDocument/2006/relationships/hyperlink" Target="https://drive.google.com/open?id=1mp3uCerbHyp2IuCz2jU4hpmA339EJS1Z" TargetMode="External"/><Relationship Id="rId9" Type="http://schemas.openxmlformats.org/officeDocument/2006/relationships/hyperlink" Target="https://drive.google.com/open?id=1_OeWkQ8c51jM9raXvXIgfcsqrF90ufxm" TargetMode="External"/><Relationship Id="rId14" Type="http://schemas.openxmlformats.org/officeDocument/2006/relationships/hyperlink" Target="https://drive.google.com/open?id=1IhJxJsx553ITw9JNq77FH2MY_4RIToPJ" TargetMode="External"/><Relationship Id="rId22" Type="http://schemas.openxmlformats.org/officeDocument/2006/relationships/hyperlink" Target="https://drive.google.com/open?id=1E-cqeJGiVHtKmOUDescKfKtMTc_l2bIM" TargetMode="External"/><Relationship Id="rId27" Type="http://schemas.openxmlformats.org/officeDocument/2006/relationships/hyperlink" Target="https://drive.google.com/open?id=1DmNVmzN_hTLh0_NuocEChWVyqDmM1Hfp" TargetMode="External"/><Relationship Id="rId30" Type="http://schemas.openxmlformats.org/officeDocument/2006/relationships/hyperlink" Target="https://drive.google.com/open?id=12rNLQBzMWga0N9LtajSzQJZ00naSBdXU" TargetMode="External"/><Relationship Id="rId35" Type="http://schemas.openxmlformats.org/officeDocument/2006/relationships/hyperlink" Target="https://drive.google.com/open?id=1HwZVaPT1Gg7t7SRl5IkIZQGn3cwaIJww" TargetMode="External"/><Relationship Id="rId43" Type="http://schemas.openxmlformats.org/officeDocument/2006/relationships/hyperlink" Target="https://drive.google.com/open?id=1kOhw81K9res21Z5Zgt_eU5DSJJZovgZg" TargetMode="External"/><Relationship Id="rId48" Type="http://schemas.openxmlformats.org/officeDocument/2006/relationships/hyperlink" Target="https://drive.google.com/open?id=1iSjGBYQlmgxkPPkYc0rrLjVSd1M1bchD" TargetMode="External"/><Relationship Id="rId8" Type="http://schemas.openxmlformats.org/officeDocument/2006/relationships/hyperlink" Target="https://drive.google.com/open?id=1he6D8G1_RM0qogQ-3M0fNVOs0PA4uJcn" TargetMode="External"/><Relationship Id="rId51" Type="http://schemas.openxmlformats.org/officeDocument/2006/relationships/hyperlink" Target="https://drive.google.com/open?id=1zrvhZZOIwZiXE4Oak5NlolJ3w9jBWfg-" TargetMode="External"/><Relationship Id="rId3" Type="http://schemas.openxmlformats.org/officeDocument/2006/relationships/hyperlink" Target="https://drive.google.com/open?id=1555aEwhqvxa1aDE5zpvOtJl4raixXIa8" TargetMode="External"/><Relationship Id="rId12" Type="http://schemas.openxmlformats.org/officeDocument/2006/relationships/hyperlink" Target="https://drive.google.com/open?id=1JFtZ518exguix0W4t5bL2fkYkGX_cjFa" TargetMode="External"/><Relationship Id="rId17" Type="http://schemas.openxmlformats.org/officeDocument/2006/relationships/hyperlink" Target="https://drive.google.com/open?id=1WWhc_LYSYyH6GsKAQrOmp4P4FFVtChCj" TargetMode="External"/><Relationship Id="rId25" Type="http://schemas.openxmlformats.org/officeDocument/2006/relationships/hyperlink" Target="https://drive.google.com/open?id=1NjpSY4bxK-B8U-P2L1IMs_QuBuob8ldU" TargetMode="External"/><Relationship Id="rId33" Type="http://schemas.openxmlformats.org/officeDocument/2006/relationships/hyperlink" Target="https://drive.google.com/open?id=1DCWi-6iQpHYSBWe-kuLEj3781iaTPRNo" TargetMode="External"/><Relationship Id="rId38" Type="http://schemas.openxmlformats.org/officeDocument/2006/relationships/hyperlink" Target="https://drive.google.com/open?id=1FFvdNw8P-DIAW1vflmcGbtfjqnM0YOKi" TargetMode="External"/><Relationship Id="rId46" Type="http://schemas.openxmlformats.org/officeDocument/2006/relationships/hyperlink" Target="https://drive.google.com/open?id=1mY9IkhiJGiwv6g7WCE_A27SCwkwLDFXu" TargetMode="External"/><Relationship Id="rId20" Type="http://schemas.openxmlformats.org/officeDocument/2006/relationships/hyperlink" Target="https://drive.google.com/open?id=19muT8gyOzQ5ThAbKDSA4vscp3E2lRTGV" TargetMode="External"/><Relationship Id="rId41" Type="http://schemas.openxmlformats.org/officeDocument/2006/relationships/hyperlink" Target="https://drive.google.com/open?id=19xkGwPJrfOUf9IM6NZocx2lOQKNowcm0" TargetMode="External"/><Relationship Id="rId54" Type="http://schemas.openxmlformats.org/officeDocument/2006/relationships/table" Target="../tables/table1.xml"/><Relationship Id="rId1" Type="http://schemas.openxmlformats.org/officeDocument/2006/relationships/hyperlink" Target="https://drive.google.com/open?id=1nJTfGHX9zoXwQwQrtmCbRod64GKJ63iQ" TargetMode="External"/><Relationship Id="rId6" Type="http://schemas.openxmlformats.org/officeDocument/2006/relationships/hyperlink" Target="https://drive.google.com/open?id=1L-jc1J5LFMdfcQ4XCjR4clElpPum4xh7" TargetMode="External"/><Relationship Id="rId15" Type="http://schemas.openxmlformats.org/officeDocument/2006/relationships/hyperlink" Target="https://drive.google.com/open?id=1_yP5vWr6nqx0erMdq021Q8f736t8Fnzr" TargetMode="External"/><Relationship Id="rId23" Type="http://schemas.openxmlformats.org/officeDocument/2006/relationships/hyperlink" Target="https://drive.google.com/open?id=16SNBwAZSJq39s8BRM54gmyne2TJ2BpyA" TargetMode="External"/><Relationship Id="rId28" Type="http://schemas.openxmlformats.org/officeDocument/2006/relationships/hyperlink" Target="https://drive.google.com/open?id=1FMQWSOKN0gLy714VmRrQ6NcPCai15Zw6" TargetMode="External"/><Relationship Id="rId36" Type="http://schemas.openxmlformats.org/officeDocument/2006/relationships/hyperlink" Target="https://drive.google.com/open?id=1y7HzXH8huT70fcbH9WYuNy5uXdbAg2pe" TargetMode="External"/><Relationship Id="rId49" Type="http://schemas.openxmlformats.org/officeDocument/2006/relationships/hyperlink" Target="https://drive.google.com/open?id=1Wv2broQHgdJpAzZRcYPLeKApXjrbLuS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380"/>
  <sheetViews>
    <sheetView topLeftCell="A357" workbookViewId="0">
      <selection activeCell="B109" sqref="B109"/>
    </sheetView>
  </sheetViews>
  <sheetFormatPr defaultColWidth="12.5703125" defaultRowHeight="15.75" customHeight="1"/>
  <cols>
    <col min="1" max="1" width="18.85546875" customWidth="1"/>
    <col min="2" max="2" width="35.42578125" customWidth="1"/>
    <col min="3" max="3" width="69.42578125" customWidth="1"/>
    <col min="4" max="4" width="15.7109375" customWidth="1"/>
    <col min="5" max="8" width="18.85546875" customWidth="1"/>
    <col min="9" max="9" width="19" customWidth="1"/>
    <col min="10" max="10" width="37.5703125" customWidth="1"/>
    <col min="11" max="11" width="33.42578125" customWidth="1"/>
    <col min="12" max="17" width="18.85546875" customWidth="1"/>
  </cols>
  <sheetData>
    <row r="1" spans="1:1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ht="22.5" customHeight="1">
      <c r="A2" s="3">
        <v>46028.606455960646</v>
      </c>
      <c r="B2" s="4" t="s">
        <v>11</v>
      </c>
      <c r="C2" s="4" t="s">
        <v>12</v>
      </c>
      <c r="D2" s="5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6" t="s">
        <v>20</v>
      </c>
    </row>
    <row r="3" spans="1:11" ht="22.5" customHeight="1">
      <c r="A3" s="3">
        <v>46029.361785347224</v>
      </c>
      <c r="B3" s="4" t="s">
        <v>21</v>
      </c>
      <c r="C3" s="4" t="s">
        <v>22</v>
      </c>
      <c r="D3" s="5" t="s">
        <v>23</v>
      </c>
      <c r="E3" s="4" t="s">
        <v>24</v>
      </c>
      <c r="F3" s="4" t="s">
        <v>15</v>
      </c>
      <c r="G3" s="4" t="s">
        <v>25</v>
      </c>
      <c r="H3" s="4" t="s">
        <v>26</v>
      </c>
      <c r="I3" s="4" t="s">
        <v>27</v>
      </c>
      <c r="J3" s="4" t="s">
        <v>28</v>
      </c>
    </row>
    <row r="4" spans="1:11" ht="22.5" customHeight="1">
      <c r="A4" s="3">
        <v>46029.368840393523</v>
      </c>
      <c r="B4" s="4" t="s">
        <v>29</v>
      </c>
      <c r="C4" s="4" t="s">
        <v>22</v>
      </c>
      <c r="D4" s="5" t="s">
        <v>23</v>
      </c>
      <c r="E4" s="4" t="s">
        <v>14</v>
      </c>
      <c r="F4" s="4" t="s">
        <v>15</v>
      </c>
      <c r="G4" s="4" t="s">
        <v>30</v>
      </c>
      <c r="H4" s="4" t="s">
        <v>31</v>
      </c>
      <c r="I4" s="4" t="s">
        <v>32</v>
      </c>
      <c r="J4" s="4" t="s">
        <v>33</v>
      </c>
    </row>
    <row r="5" spans="1:11" ht="22.5" customHeight="1">
      <c r="A5" s="3">
        <v>46029.369597650468</v>
      </c>
      <c r="B5" s="4" t="s">
        <v>34</v>
      </c>
      <c r="C5" s="4" t="s">
        <v>22</v>
      </c>
      <c r="D5" s="5" t="s">
        <v>23</v>
      </c>
      <c r="E5" s="4" t="s">
        <v>14</v>
      </c>
      <c r="F5" s="4" t="s">
        <v>15</v>
      </c>
      <c r="G5" s="4" t="s">
        <v>30</v>
      </c>
      <c r="H5" s="4" t="s">
        <v>35</v>
      </c>
      <c r="I5" s="4" t="s">
        <v>32</v>
      </c>
      <c r="J5" s="4" t="s">
        <v>36</v>
      </c>
    </row>
    <row r="6" spans="1:11" ht="22.5" customHeight="1">
      <c r="A6" s="3">
        <v>46029.370633738421</v>
      </c>
      <c r="B6" s="4" t="s">
        <v>37</v>
      </c>
      <c r="C6" s="4" t="s">
        <v>22</v>
      </c>
      <c r="D6" s="5" t="s">
        <v>23</v>
      </c>
      <c r="E6" s="4" t="s">
        <v>14</v>
      </c>
      <c r="F6" s="4" t="s">
        <v>15</v>
      </c>
      <c r="G6" s="4" t="s">
        <v>30</v>
      </c>
      <c r="H6" s="4" t="s">
        <v>35</v>
      </c>
      <c r="I6" s="4" t="s">
        <v>32</v>
      </c>
      <c r="J6" s="4" t="s">
        <v>36</v>
      </c>
    </row>
    <row r="7" spans="1:11" ht="22.5" customHeight="1">
      <c r="A7" s="3">
        <v>46029.371994143519</v>
      </c>
      <c r="B7" s="4" t="s">
        <v>38</v>
      </c>
      <c r="C7" s="4" t="s">
        <v>22</v>
      </c>
      <c r="D7" s="5" t="s">
        <v>23</v>
      </c>
      <c r="E7" s="4" t="s">
        <v>14</v>
      </c>
      <c r="F7" s="4" t="s">
        <v>15</v>
      </c>
      <c r="G7" s="4" t="s">
        <v>39</v>
      </c>
      <c r="H7" s="4" t="s">
        <v>40</v>
      </c>
      <c r="I7" s="4" t="s">
        <v>32</v>
      </c>
      <c r="J7" s="4" t="s">
        <v>41</v>
      </c>
    </row>
    <row r="8" spans="1:11" ht="22.5" customHeight="1">
      <c r="A8" s="3">
        <v>46029.373024108798</v>
      </c>
      <c r="B8" s="4" t="s">
        <v>42</v>
      </c>
      <c r="C8" s="4" t="s">
        <v>22</v>
      </c>
      <c r="D8" s="5" t="s">
        <v>23</v>
      </c>
      <c r="E8" s="4" t="s">
        <v>14</v>
      </c>
      <c r="F8" s="4" t="s">
        <v>15</v>
      </c>
      <c r="G8" s="4" t="s">
        <v>43</v>
      </c>
      <c r="H8" s="4" t="s">
        <v>26</v>
      </c>
      <c r="I8" s="4" t="s">
        <v>44</v>
      </c>
      <c r="J8" s="4" t="s">
        <v>45</v>
      </c>
    </row>
    <row r="9" spans="1:11" ht="22.5" customHeight="1">
      <c r="A9" s="3">
        <v>46029.374360289352</v>
      </c>
      <c r="B9" s="4" t="s">
        <v>46</v>
      </c>
      <c r="C9" s="4" t="s">
        <v>22</v>
      </c>
      <c r="D9" s="5" t="s">
        <v>23</v>
      </c>
      <c r="E9" s="4" t="s">
        <v>14</v>
      </c>
      <c r="F9" s="4" t="s">
        <v>15</v>
      </c>
      <c r="G9" s="4" t="s">
        <v>43</v>
      </c>
      <c r="H9" s="4" t="s">
        <v>26</v>
      </c>
      <c r="I9" s="4" t="s">
        <v>47</v>
      </c>
      <c r="J9" s="4" t="s">
        <v>48</v>
      </c>
    </row>
    <row r="10" spans="1:11" ht="22.5" customHeight="1">
      <c r="A10" s="3">
        <v>46029.390168668979</v>
      </c>
      <c r="B10" s="4" t="s">
        <v>49</v>
      </c>
      <c r="C10" s="4" t="s">
        <v>50</v>
      </c>
      <c r="D10" s="5" t="s">
        <v>51</v>
      </c>
      <c r="E10" s="4" t="s">
        <v>14</v>
      </c>
      <c r="F10" s="4" t="s">
        <v>52</v>
      </c>
      <c r="G10" s="4" t="s">
        <v>53</v>
      </c>
      <c r="H10" s="4" t="s">
        <v>54</v>
      </c>
      <c r="I10" s="4" t="s">
        <v>55</v>
      </c>
      <c r="J10" s="4" t="s">
        <v>32</v>
      </c>
      <c r="K10" s="6" t="s">
        <v>56</v>
      </c>
    </row>
    <row r="11" spans="1:11" ht="22.5" customHeight="1">
      <c r="A11" s="3">
        <v>46029.417307858792</v>
      </c>
      <c r="B11" s="4" t="s">
        <v>57</v>
      </c>
      <c r="C11" s="4" t="s">
        <v>50</v>
      </c>
      <c r="D11" s="5" t="s">
        <v>51</v>
      </c>
      <c r="E11" s="4" t="s">
        <v>14</v>
      </c>
      <c r="F11" s="4" t="s">
        <v>52</v>
      </c>
      <c r="G11" s="4" t="s">
        <v>58</v>
      </c>
      <c r="H11" s="4" t="s">
        <v>54</v>
      </c>
      <c r="I11" s="4" t="s">
        <v>59</v>
      </c>
      <c r="J11" s="4" t="s">
        <v>32</v>
      </c>
      <c r="K11" s="6" t="s">
        <v>60</v>
      </c>
    </row>
    <row r="12" spans="1:11" ht="22.5" customHeight="1">
      <c r="A12" s="3">
        <v>46029.424988784725</v>
      </c>
      <c r="B12" s="4" t="s">
        <v>61</v>
      </c>
      <c r="C12" s="4" t="s">
        <v>62</v>
      </c>
      <c r="D12" s="4">
        <v>81390175776</v>
      </c>
      <c r="E12" s="4" t="s">
        <v>14</v>
      </c>
      <c r="F12" s="4" t="s">
        <v>63</v>
      </c>
      <c r="G12" s="4" t="s">
        <v>64</v>
      </c>
      <c r="H12" s="4" t="s">
        <v>32</v>
      </c>
      <c r="I12" s="4">
        <v>211006</v>
      </c>
      <c r="J12" s="4" t="s">
        <v>65</v>
      </c>
    </row>
    <row r="13" spans="1:11" ht="22.5" customHeight="1">
      <c r="A13" s="3">
        <v>46029.4256174537</v>
      </c>
      <c r="B13" s="4" t="s">
        <v>66</v>
      </c>
      <c r="C13" s="4" t="s">
        <v>62</v>
      </c>
      <c r="D13" s="4">
        <v>81390175776</v>
      </c>
      <c r="E13" s="4" t="s">
        <v>14</v>
      </c>
      <c r="F13" s="4" t="s">
        <v>63</v>
      </c>
      <c r="G13" s="4" t="s">
        <v>64</v>
      </c>
      <c r="H13" s="4" t="s">
        <v>32</v>
      </c>
      <c r="I13" s="4">
        <v>211081</v>
      </c>
      <c r="J13" s="4" t="s">
        <v>65</v>
      </c>
    </row>
    <row r="14" spans="1:11" ht="22.5" customHeight="1">
      <c r="A14" s="3">
        <v>46029.426507349533</v>
      </c>
      <c r="B14" s="4" t="s">
        <v>67</v>
      </c>
      <c r="C14" s="4" t="s">
        <v>62</v>
      </c>
      <c r="D14" s="4">
        <v>81390175776</v>
      </c>
      <c r="E14" s="4" t="s">
        <v>14</v>
      </c>
      <c r="F14" s="4" t="s">
        <v>63</v>
      </c>
      <c r="G14" s="4" t="s">
        <v>64</v>
      </c>
      <c r="H14" s="4" t="s">
        <v>32</v>
      </c>
      <c r="I14" s="4">
        <v>170694</v>
      </c>
      <c r="J14" s="4" t="s">
        <v>65</v>
      </c>
    </row>
    <row r="15" spans="1:11" ht="22.5" customHeight="1">
      <c r="A15" s="3">
        <v>46029.428281423607</v>
      </c>
      <c r="B15" s="4" t="s">
        <v>68</v>
      </c>
      <c r="C15" s="4" t="s">
        <v>62</v>
      </c>
      <c r="D15" s="4">
        <v>81390175776</v>
      </c>
      <c r="E15" s="4" t="s">
        <v>14</v>
      </c>
      <c r="F15" s="4" t="s">
        <v>63</v>
      </c>
      <c r="G15" s="4" t="s">
        <v>64</v>
      </c>
      <c r="H15" s="4" t="s">
        <v>32</v>
      </c>
      <c r="I15" s="4">
        <v>111724</v>
      </c>
      <c r="J15" s="4" t="s">
        <v>65</v>
      </c>
    </row>
    <row r="16" spans="1:11" ht="22.5" customHeight="1">
      <c r="A16" s="3">
        <v>46029.430303020832</v>
      </c>
      <c r="B16" s="4" t="s">
        <v>69</v>
      </c>
      <c r="C16" s="4" t="s">
        <v>62</v>
      </c>
      <c r="D16" s="4">
        <v>81390175776</v>
      </c>
      <c r="E16" s="4" t="s">
        <v>14</v>
      </c>
      <c r="F16" s="4" t="s">
        <v>70</v>
      </c>
      <c r="G16" s="4" t="s">
        <v>71</v>
      </c>
      <c r="H16" s="4" t="s">
        <v>32</v>
      </c>
      <c r="I16" s="4">
        <v>97815</v>
      </c>
      <c r="J16" s="4" t="s">
        <v>72</v>
      </c>
    </row>
    <row r="17" spans="1:11" ht="22.5" customHeight="1">
      <c r="A17" s="3">
        <v>46029.433088715276</v>
      </c>
      <c r="B17" s="4" t="s">
        <v>73</v>
      </c>
      <c r="C17" s="4" t="s">
        <v>62</v>
      </c>
      <c r="D17" s="4">
        <v>81390175776</v>
      </c>
      <c r="E17" s="4" t="s">
        <v>14</v>
      </c>
      <c r="F17" s="4" t="s">
        <v>70</v>
      </c>
      <c r="G17" s="4" t="s">
        <v>74</v>
      </c>
      <c r="H17" s="4" t="s">
        <v>32</v>
      </c>
      <c r="I17" s="4" t="s">
        <v>32</v>
      </c>
      <c r="J17" s="4" t="s">
        <v>75</v>
      </c>
    </row>
    <row r="18" spans="1:11" ht="22.5" customHeight="1">
      <c r="A18" s="3">
        <v>46029.435009155088</v>
      </c>
      <c r="B18" s="4" t="s">
        <v>61</v>
      </c>
      <c r="C18" s="4" t="s">
        <v>62</v>
      </c>
      <c r="D18" s="4">
        <v>81390175776</v>
      </c>
      <c r="E18" s="4" t="s">
        <v>14</v>
      </c>
      <c r="F18" s="4" t="s">
        <v>76</v>
      </c>
      <c r="G18" s="4" t="s">
        <v>32</v>
      </c>
      <c r="H18" s="4" t="s">
        <v>32</v>
      </c>
      <c r="I18" s="4" t="s">
        <v>32</v>
      </c>
      <c r="J18" s="4" t="s">
        <v>77</v>
      </c>
    </row>
    <row r="19" spans="1:11" ht="22.5" customHeight="1">
      <c r="A19" s="3">
        <v>46029.440624340277</v>
      </c>
      <c r="B19" s="4" t="s">
        <v>78</v>
      </c>
      <c r="C19" s="4" t="s">
        <v>50</v>
      </c>
      <c r="D19" s="5" t="s">
        <v>51</v>
      </c>
      <c r="E19" s="4" t="s">
        <v>14</v>
      </c>
      <c r="F19" s="4" t="s">
        <v>52</v>
      </c>
      <c r="G19" s="4" t="s">
        <v>79</v>
      </c>
      <c r="H19" s="4" t="s">
        <v>80</v>
      </c>
      <c r="I19" s="4" t="s">
        <v>81</v>
      </c>
      <c r="J19" s="4" t="s">
        <v>32</v>
      </c>
      <c r="K19" s="6" t="s">
        <v>82</v>
      </c>
    </row>
    <row r="20" spans="1:11" ht="22.5" customHeight="1">
      <c r="A20" s="3">
        <v>46029.454592222217</v>
      </c>
      <c r="B20" s="4" t="s">
        <v>83</v>
      </c>
      <c r="C20" s="4" t="s">
        <v>50</v>
      </c>
      <c r="D20" s="5" t="s">
        <v>51</v>
      </c>
      <c r="E20" s="4" t="s">
        <v>14</v>
      </c>
      <c r="F20" s="4" t="s">
        <v>52</v>
      </c>
      <c r="G20" s="4" t="s">
        <v>58</v>
      </c>
      <c r="H20" s="4" t="s">
        <v>84</v>
      </c>
      <c r="I20" s="4" t="s">
        <v>85</v>
      </c>
      <c r="J20" s="4" t="s">
        <v>32</v>
      </c>
      <c r="K20" s="6" t="s">
        <v>86</v>
      </c>
    </row>
    <row r="21" spans="1:11" ht="22.5" customHeight="1">
      <c r="A21" s="3">
        <v>46030.344011516208</v>
      </c>
      <c r="B21" s="4" t="s">
        <v>87</v>
      </c>
      <c r="C21" s="4" t="s">
        <v>88</v>
      </c>
      <c r="D21" s="5" t="s">
        <v>89</v>
      </c>
      <c r="E21" s="4" t="s">
        <v>14</v>
      </c>
      <c r="F21" s="4" t="s">
        <v>15</v>
      </c>
      <c r="G21" s="4" t="s">
        <v>90</v>
      </c>
      <c r="H21" s="4" t="s">
        <v>91</v>
      </c>
      <c r="I21" s="4" t="s">
        <v>92</v>
      </c>
      <c r="J21" s="4" t="s">
        <v>93</v>
      </c>
      <c r="K21" s="6" t="s">
        <v>94</v>
      </c>
    </row>
    <row r="22" spans="1:11" ht="22.5" customHeight="1">
      <c r="A22" s="3">
        <v>46030.351971747688</v>
      </c>
      <c r="B22" s="4" t="s">
        <v>95</v>
      </c>
      <c r="C22" s="4" t="s">
        <v>96</v>
      </c>
      <c r="D22" s="5" t="s">
        <v>97</v>
      </c>
      <c r="E22" s="4" t="s">
        <v>14</v>
      </c>
      <c r="F22" s="4" t="s">
        <v>70</v>
      </c>
      <c r="G22" s="4" t="s">
        <v>98</v>
      </c>
      <c r="H22" s="4" t="s">
        <v>32</v>
      </c>
      <c r="I22" s="4">
        <v>15492</v>
      </c>
      <c r="J22" s="4" t="s">
        <v>75</v>
      </c>
    </row>
    <row r="23" spans="1:11" ht="22.5" customHeight="1">
      <c r="A23" s="3">
        <v>46030.359980879628</v>
      </c>
      <c r="B23" s="4" t="s">
        <v>99</v>
      </c>
      <c r="C23" s="4" t="s">
        <v>100</v>
      </c>
      <c r="D23" s="5" t="s">
        <v>101</v>
      </c>
      <c r="E23" s="4" t="s">
        <v>14</v>
      </c>
      <c r="F23" s="4" t="s">
        <v>15</v>
      </c>
      <c r="G23" s="4" t="s">
        <v>102</v>
      </c>
      <c r="H23" s="4" t="s">
        <v>103</v>
      </c>
      <c r="I23" s="4" t="s">
        <v>104</v>
      </c>
      <c r="J23" s="4" t="s">
        <v>105</v>
      </c>
      <c r="K23" s="6" t="s">
        <v>106</v>
      </c>
    </row>
    <row r="24" spans="1:11" ht="22.5" customHeight="1">
      <c r="A24" s="3">
        <v>46030.367874837961</v>
      </c>
      <c r="B24" s="4" t="s">
        <v>107</v>
      </c>
      <c r="C24" s="4" t="s">
        <v>108</v>
      </c>
      <c r="D24" s="5" t="s">
        <v>109</v>
      </c>
      <c r="E24" s="4" t="s">
        <v>14</v>
      </c>
      <c r="F24" s="4" t="s">
        <v>15</v>
      </c>
      <c r="G24" s="4" t="s">
        <v>110</v>
      </c>
      <c r="H24" s="4" t="s">
        <v>111</v>
      </c>
      <c r="I24" s="4" t="s">
        <v>112</v>
      </c>
      <c r="J24" s="4" t="s">
        <v>113</v>
      </c>
    </row>
    <row r="25" spans="1:11" ht="22.5" customHeight="1">
      <c r="A25" s="3">
        <v>46030.368829618055</v>
      </c>
      <c r="B25" s="4" t="s">
        <v>114</v>
      </c>
      <c r="C25" s="4" t="s">
        <v>108</v>
      </c>
      <c r="D25" s="5" t="s">
        <v>109</v>
      </c>
      <c r="E25" s="4" t="s">
        <v>14</v>
      </c>
      <c r="F25" s="4" t="s">
        <v>15</v>
      </c>
      <c r="G25" s="4" t="s">
        <v>110</v>
      </c>
      <c r="H25" s="4" t="s">
        <v>111</v>
      </c>
      <c r="I25" s="4" t="s">
        <v>115</v>
      </c>
      <c r="J25" s="4" t="s">
        <v>113</v>
      </c>
    </row>
    <row r="26" spans="1:11" ht="22.5" customHeight="1">
      <c r="A26" s="3">
        <v>46030.369685613427</v>
      </c>
      <c r="B26" s="4" t="s">
        <v>116</v>
      </c>
      <c r="C26" s="4" t="s">
        <v>108</v>
      </c>
      <c r="D26" s="5" t="s">
        <v>109</v>
      </c>
      <c r="E26" s="4" t="s">
        <v>14</v>
      </c>
      <c r="F26" s="4" t="s">
        <v>15</v>
      </c>
      <c r="G26" s="4" t="s">
        <v>110</v>
      </c>
      <c r="H26" s="4" t="s">
        <v>117</v>
      </c>
      <c r="I26" s="4" t="s">
        <v>118</v>
      </c>
      <c r="J26" s="4" t="s">
        <v>119</v>
      </c>
    </row>
    <row r="27" spans="1:11" ht="22.5" customHeight="1">
      <c r="A27" s="3">
        <v>46030.37233755787</v>
      </c>
      <c r="B27" s="4" t="s">
        <v>120</v>
      </c>
      <c r="C27" s="4" t="s">
        <v>121</v>
      </c>
      <c r="D27" s="5" t="s">
        <v>109</v>
      </c>
      <c r="E27" s="4" t="s">
        <v>14</v>
      </c>
      <c r="F27" s="4" t="s">
        <v>15</v>
      </c>
      <c r="G27" s="4" t="s">
        <v>110</v>
      </c>
      <c r="H27" s="4" t="s">
        <v>122</v>
      </c>
      <c r="I27" s="4">
        <v>5171100070</v>
      </c>
      <c r="J27" s="4" t="s">
        <v>123</v>
      </c>
    </row>
    <row r="28" spans="1:11" ht="22.5" customHeight="1">
      <c r="A28" s="3">
        <v>46030.37324212963</v>
      </c>
      <c r="B28" s="4" t="s">
        <v>124</v>
      </c>
      <c r="C28" s="4" t="s">
        <v>121</v>
      </c>
      <c r="D28" s="5" t="s">
        <v>109</v>
      </c>
      <c r="E28" s="4" t="s">
        <v>14</v>
      </c>
      <c r="F28" s="4" t="s">
        <v>15</v>
      </c>
      <c r="G28" s="4" t="s">
        <v>110</v>
      </c>
      <c r="H28" s="4" t="s">
        <v>117</v>
      </c>
      <c r="I28" s="4" t="s">
        <v>125</v>
      </c>
      <c r="J28" s="4" t="s">
        <v>119</v>
      </c>
    </row>
    <row r="29" spans="1:11" ht="22.5" customHeight="1">
      <c r="A29" s="3">
        <v>46030.376791921299</v>
      </c>
      <c r="B29" s="4" t="s">
        <v>126</v>
      </c>
      <c r="C29" s="4" t="s">
        <v>127</v>
      </c>
      <c r="D29" s="5" t="s">
        <v>109</v>
      </c>
      <c r="E29" s="4" t="s">
        <v>14</v>
      </c>
      <c r="F29" s="4" t="s">
        <v>15</v>
      </c>
      <c r="G29" s="4" t="s">
        <v>110</v>
      </c>
      <c r="H29" s="4" t="s">
        <v>122</v>
      </c>
      <c r="I29" s="4">
        <v>5150900175</v>
      </c>
      <c r="J29" s="4" t="s">
        <v>123</v>
      </c>
    </row>
    <row r="30" spans="1:11" ht="22.5" customHeight="1">
      <c r="A30" s="3">
        <v>46030.377502986114</v>
      </c>
      <c r="B30" s="4" t="s">
        <v>128</v>
      </c>
      <c r="C30" s="4" t="s">
        <v>127</v>
      </c>
      <c r="D30" s="5" t="s">
        <v>109</v>
      </c>
      <c r="E30" s="4" t="s">
        <v>14</v>
      </c>
      <c r="F30" s="4" t="s">
        <v>15</v>
      </c>
      <c r="G30" s="4" t="s">
        <v>110</v>
      </c>
      <c r="H30" s="4" t="s">
        <v>122</v>
      </c>
      <c r="I30" s="4">
        <v>5210900407</v>
      </c>
      <c r="J30" s="4" t="s">
        <v>123</v>
      </c>
    </row>
    <row r="31" spans="1:11" ht="22.5" customHeight="1">
      <c r="A31" s="3">
        <v>46030.37818832176</v>
      </c>
      <c r="B31" s="4" t="s">
        <v>129</v>
      </c>
      <c r="C31" s="4" t="s">
        <v>127</v>
      </c>
      <c r="D31" s="5" t="s">
        <v>109</v>
      </c>
      <c r="E31" s="4" t="s">
        <v>14</v>
      </c>
      <c r="F31" s="4" t="s">
        <v>15</v>
      </c>
      <c r="G31" s="4" t="s">
        <v>110</v>
      </c>
      <c r="H31" s="4" t="s">
        <v>117</v>
      </c>
      <c r="I31" s="4" t="s">
        <v>130</v>
      </c>
      <c r="J31" s="4" t="s">
        <v>119</v>
      </c>
    </row>
    <row r="32" spans="1:11" ht="22.5" customHeight="1">
      <c r="A32" s="3">
        <v>46030.394076203709</v>
      </c>
      <c r="B32" s="4" t="s">
        <v>131</v>
      </c>
      <c r="C32" s="4" t="s">
        <v>132</v>
      </c>
      <c r="D32" s="5" t="s">
        <v>133</v>
      </c>
      <c r="E32" s="4" t="s">
        <v>14</v>
      </c>
      <c r="F32" s="4" t="s">
        <v>52</v>
      </c>
      <c r="G32" s="4" t="s">
        <v>53</v>
      </c>
      <c r="H32" s="4" t="s">
        <v>134</v>
      </c>
      <c r="I32" s="4" t="s">
        <v>135</v>
      </c>
      <c r="J32" s="4" t="s">
        <v>136</v>
      </c>
      <c r="K32" s="6" t="s">
        <v>137</v>
      </c>
    </row>
    <row r="33" spans="1:11" ht="22.5" customHeight="1">
      <c r="A33" s="3">
        <v>46030.438152615738</v>
      </c>
      <c r="B33" s="4" t="s">
        <v>138</v>
      </c>
      <c r="C33" s="4" t="s">
        <v>132</v>
      </c>
      <c r="D33" s="5" t="s">
        <v>133</v>
      </c>
      <c r="E33" s="4" t="s">
        <v>14</v>
      </c>
      <c r="F33" s="4" t="s">
        <v>52</v>
      </c>
      <c r="G33" s="4" t="s">
        <v>53</v>
      </c>
      <c r="H33" s="4" t="s">
        <v>139</v>
      </c>
      <c r="I33" s="4" t="s">
        <v>140</v>
      </c>
      <c r="J33" s="4" t="s">
        <v>141</v>
      </c>
      <c r="K33" s="6" t="s">
        <v>142</v>
      </c>
    </row>
    <row r="34" spans="1:11" ht="22.5" customHeight="1">
      <c r="A34" s="3">
        <v>46030.480375023151</v>
      </c>
      <c r="B34" s="4" t="s">
        <v>143</v>
      </c>
      <c r="C34" s="4" t="s">
        <v>132</v>
      </c>
      <c r="D34" s="5" t="s">
        <v>133</v>
      </c>
      <c r="E34" s="4" t="s">
        <v>14</v>
      </c>
      <c r="F34" s="4" t="s">
        <v>52</v>
      </c>
      <c r="G34" s="4" t="s">
        <v>53</v>
      </c>
      <c r="H34" s="4" t="s">
        <v>139</v>
      </c>
      <c r="I34" s="4" t="s">
        <v>144</v>
      </c>
      <c r="J34" s="4" t="s">
        <v>141</v>
      </c>
      <c r="K34" s="6" t="s">
        <v>145</v>
      </c>
    </row>
    <row r="35" spans="1:11" ht="22.5" customHeight="1">
      <c r="A35" s="3">
        <v>46030.504509629631</v>
      </c>
      <c r="B35" s="4" t="s">
        <v>146</v>
      </c>
      <c r="C35" s="4" t="s">
        <v>132</v>
      </c>
      <c r="D35" s="5" t="s">
        <v>133</v>
      </c>
      <c r="E35" s="4" t="s">
        <v>14</v>
      </c>
      <c r="F35" s="4" t="s">
        <v>52</v>
      </c>
      <c r="G35" s="4" t="s">
        <v>53</v>
      </c>
      <c r="H35" s="4" t="s">
        <v>147</v>
      </c>
      <c r="I35" s="4" t="s">
        <v>148</v>
      </c>
      <c r="J35" s="4" t="s">
        <v>149</v>
      </c>
      <c r="K35" s="6" t="s">
        <v>150</v>
      </c>
    </row>
    <row r="36" spans="1:11" ht="22.5" customHeight="1">
      <c r="A36" s="3">
        <v>46030.561452488429</v>
      </c>
      <c r="B36" s="4" t="s">
        <v>151</v>
      </c>
      <c r="C36" s="4" t="s">
        <v>152</v>
      </c>
      <c r="D36" s="5" t="s">
        <v>153</v>
      </c>
      <c r="E36" s="4" t="s">
        <v>14</v>
      </c>
      <c r="F36" s="4" t="s">
        <v>15</v>
      </c>
      <c r="G36" s="4" t="s">
        <v>154</v>
      </c>
      <c r="H36" s="4" t="s">
        <v>155</v>
      </c>
      <c r="J36" s="4" t="s">
        <v>156</v>
      </c>
      <c r="K36" s="6" t="s">
        <v>157</v>
      </c>
    </row>
    <row r="37" spans="1:11" ht="22.5" customHeight="1">
      <c r="A37" s="3">
        <v>46031.493689050927</v>
      </c>
      <c r="B37" s="4" t="s">
        <v>158</v>
      </c>
      <c r="C37" s="4" t="s">
        <v>159</v>
      </c>
      <c r="D37" s="5" t="s">
        <v>160</v>
      </c>
      <c r="E37" s="4" t="s">
        <v>14</v>
      </c>
      <c r="F37" s="4" t="s">
        <v>15</v>
      </c>
      <c r="G37" s="4" t="s">
        <v>16</v>
      </c>
      <c r="H37" s="4" t="s">
        <v>161</v>
      </c>
      <c r="I37" s="4" t="s">
        <v>162</v>
      </c>
      <c r="J37" s="4" t="s">
        <v>163</v>
      </c>
      <c r="K37" s="6" t="s">
        <v>164</v>
      </c>
    </row>
    <row r="38" spans="1:11" ht="22.5" customHeight="1">
      <c r="A38" s="3">
        <v>46031.795586574073</v>
      </c>
      <c r="B38" s="4" t="s">
        <v>165</v>
      </c>
      <c r="C38" s="4" t="s">
        <v>166</v>
      </c>
      <c r="D38" s="5" t="s">
        <v>23</v>
      </c>
      <c r="E38" s="4" t="s">
        <v>14</v>
      </c>
      <c r="F38" s="4" t="s">
        <v>52</v>
      </c>
      <c r="G38" s="4" t="s">
        <v>167</v>
      </c>
      <c r="H38" s="4" t="s">
        <v>168</v>
      </c>
      <c r="I38" s="4" t="s">
        <v>169</v>
      </c>
      <c r="J38" s="4" t="s">
        <v>170</v>
      </c>
      <c r="K38" s="6" t="s">
        <v>171</v>
      </c>
    </row>
    <row r="39" spans="1:11" ht="22.5" customHeight="1">
      <c r="A39" s="3">
        <v>46031.799373518515</v>
      </c>
      <c r="B39" s="4" t="s">
        <v>172</v>
      </c>
      <c r="C39" s="4" t="s">
        <v>173</v>
      </c>
      <c r="D39" s="5" t="s">
        <v>23</v>
      </c>
      <c r="E39" s="4" t="s">
        <v>14</v>
      </c>
      <c r="F39" s="4" t="s">
        <v>52</v>
      </c>
      <c r="G39" s="4" t="s">
        <v>167</v>
      </c>
      <c r="H39" s="4" t="s">
        <v>174</v>
      </c>
      <c r="I39" s="4" t="s">
        <v>175</v>
      </c>
      <c r="J39" s="4" t="s">
        <v>176</v>
      </c>
      <c r="K39" s="6" t="s">
        <v>177</v>
      </c>
    </row>
    <row r="40" spans="1:11" ht="22.5" customHeight="1">
      <c r="A40" s="3">
        <v>46031.801922650462</v>
      </c>
      <c r="B40" s="4" t="s">
        <v>178</v>
      </c>
      <c r="C40" s="4" t="s">
        <v>173</v>
      </c>
      <c r="D40" s="5" t="s">
        <v>23</v>
      </c>
      <c r="E40" s="4" t="s">
        <v>14</v>
      </c>
      <c r="F40" s="4" t="s">
        <v>52</v>
      </c>
      <c r="G40" s="4" t="s">
        <v>179</v>
      </c>
      <c r="H40" s="4" t="s">
        <v>174</v>
      </c>
      <c r="I40" s="4" t="s">
        <v>180</v>
      </c>
      <c r="J40" s="4" t="s">
        <v>176</v>
      </c>
      <c r="K40" s="6" t="s">
        <v>181</v>
      </c>
    </row>
    <row r="41" spans="1:11" ht="22.5" customHeight="1">
      <c r="A41" s="3">
        <v>46031.803817083332</v>
      </c>
      <c r="B41" s="4" t="s">
        <v>182</v>
      </c>
      <c r="C41" s="4" t="s">
        <v>173</v>
      </c>
      <c r="D41" s="5" t="s">
        <v>23</v>
      </c>
      <c r="E41" s="4" t="s">
        <v>14</v>
      </c>
      <c r="F41" s="4" t="s">
        <v>52</v>
      </c>
      <c r="G41" s="4" t="s">
        <v>167</v>
      </c>
      <c r="H41" s="4" t="s">
        <v>183</v>
      </c>
      <c r="I41" s="4" t="s">
        <v>184</v>
      </c>
      <c r="J41" s="4" t="s">
        <v>176</v>
      </c>
      <c r="K41" s="6" t="s">
        <v>185</v>
      </c>
    </row>
    <row r="42" spans="1:11" ht="22.5" customHeight="1">
      <c r="A42" s="3">
        <v>46031.805147106483</v>
      </c>
      <c r="B42" s="4" t="s">
        <v>186</v>
      </c>
      <c r="C42" s="4" t="s">
        <v>173</v>
      </c>
      <c r="D42" s="5" t="s">
        <v>23</v>
      </c>
      <c r="E42" s="4" t="s">
        <v>14</v>
      </c>
      <c r="F42" s="4" t="s">
        <v>52</v>
      </c>
      <c r="G42" s="4" t="s">
        <v>167</v>
      </c>
      <c r="H42" s="4" t="s">
        <v>174</v>
      </c>
      <c r="I42" s="4" t="s">
        <v>187</v>
      </c>
      <c r="J42" s="4" t="s">
        <v>176</v>
      </c>
      <c r="K42" s="6" t="s">
        <v>188</v>
      </c>
    </row>
    <row r="43" spans="1:11" ht="22.5" customHeight="1">
      <c r="A43" s="3">
        <v>46034.353016111112</v>
      </c>
      <c r="B43" s="4" t="s">
        <v>189</v>
      </c>
      <c r="C43" s="4" t="s">
        <v>190</v>
      </c>
      <c r="D43" s="5" t="s">
        <v>191</v>
      </c>
      <c r="E43" s="4" t="s">
        <v>14</v>
      </c>
      <c r="F43" s="4" t="s">
        <v>192</v>
      </c>
      <c r="G43" s="4" t="s">
        <v>193</v>
      </c>
      <c r="H43" s="4" t="s">
        <v>194</v>
      </c>
      <c r="I43" s="4">
        <v>3399</v>
      </c>
      <c r="J43" s="4" t="s">
        <v>195</v>
      </c>
      <c r="K43" s="6" t="s">
        <v>196</v>
      </c>
    </row>
    <row r="44" spans="1:11" ht="22.5" customHeight="1">
      <c r="A44" s="3">
        <v>46034.36740938657</v>
      </c>
      <c r="B44" s="4" t="s">
        <v>197</v>
      </c>
      <c r="C44" s="4" t="s">
        <v>198</v>
      </c>
      <c r="D44" s="5" t="s">
        <v>199</v>
      </c>
      <c r="E44" s="4" t="s">
        <v>14</v>
      </c>
      <c r="F44" s="4" t="s">
        <v>15</v>
      </c>
      <c r="G44" s="4" t="s">
        <v>110</v>
      </c>
      <c r="H44" s="4" t="s">
        <v>122</v>
      </c>
      <c r="I44" s="4">
        <v>5180100108</v>
      </c>
      <c r="J44" s="4" t="s">
        <v>200</v>
      </c>
    </row>
    <row r="45" spans="1:11" ht="22.5" customHeight="1">
      <c r="A45" s="3">
        <v>46034.368167233799</v>
      </c>
      <c r="B45" s="4" t="s">
        <v>201</v>
      </c>
      <c r="C45" s="4" t="s">
        <v>198</v>
      </c>
      <c r="D45" s="5" t="s">
        <v>199</v>
      </c>
      <c r="E45" s="4" t="s">
        <v>14</v>
      </c>
      <c r="F45" s="4" t="s">
        <v>15</v>
      </c>
      <c r="G45" s="4" t="s">
        <v>110</v>
      </c>
      <c r="H45" s="4" t="s">
        <v>202</v>
      </c>
      <c r="I45" s="4">
        <v>5180100109</v>
      </c>
      <c r="J45" s="4" t="s">
        <v>200</v>
      </c>
    </row>
    <row r="46" spans="1:11" ht="22.5" customHeight="1">
      <c r="A46" s="3">
        <v>46034.368795173606</v>
      </c>
      <c r="B46" s="4" t="s">
        <v>203</v>
      </c>
      <c r="C46" s="4" t="s">
        <v>198</v>
      </c>
      <c r="D46" s="5" t="s">
        <v>199</v>
      </c>
      <c r="E46" s="4" t="s">
        <v>14</v>
      </c>
      <c r="F46" s="4" t="s">
        <v>15</v>
      </c>
      <c r="G46" s="4" t="s">
        <v>110</v>
      </c>
      <c r="H46" s="4" t="s">
        <v>204</v>
      </c>
      <c r="I46" s="4" t="s">
        <v>125</v>
      </c>
      <c r="J46" s="4" t="s">
        <v>205</v>
      </c>
    </row>
    <row r="47" spans="1:11" ht="22.5" customHeight="1">
      <c r="A47" s="3">
        <v>46034.371808009259</v>
      </c>
      <c r="B47" s="4" t="s">
        <v>206</v>
      </c>
      <c r="C47" s="4" t="s">
        <v>207</v>
      </c>
      <c r="D47" s="5" t="s">
        <v>199</v>
      </c>
      <c r="E47" s="4" t="s">
        <v>14</v>
      </c>
      <c r="F47" s="4" t="s">
        <v>15</v>
      </c>
      <c r="G47" s="4" t="s">
        <v>110</v>
      </c>
      <c r="H47" s="4" t="s">
        <v>202</v>
      </c>
      <c r="I47" s="4">
        <v>5181000061</v>
      </c>
      <c r="J47" s="4" t="s">
        <v>200</v>
      </c>
    </row>
    <row r="48" spans="1:11" ht="22.5" customHeight="1">
      <c r="A48" s="3">
        <v>46034.372331215272</v>
      </c>
      <c r="B48" s="4" t="s">
        <v>208</v>
      </c>
      <c r="C48" s="4" t="s">
        <v>207</v>
      </c>
      <c r="D48" s="5" t="s">
        <v>199</v>
      </c>
      <c r="E48" s="4" t="s">
        <v>14</v>
      </c>
      <c r="F48" s="4" t="s">
        <v>15</v>
      </c>
      <c r="G48" s="4" t="s">
        <v>110</v>
      </c>
      <c r="H48" s="4" t="s">
        <v>202</v>
      </c>
      <c r="I48" s="4">
        <v>5210900406</v>
      </c>
      <c r="J48" s="4" t="s">
        <v>200</v>
      </c>
    </row>
    <row r="49" spans="1:11" ht="22.5" customHeight="1">
      <c r="A49" s="3">
        <v>46034.372885856486</v>
      </c>
      <c r="B49" s="4" t="s">
        <v>209</v>
      </c>
      <c r="C49" s="4" t="s">
        <v>207</v>
      </c>
      <c r="D49" s="5" t="s">
        <v>199</v>
      </c>
      <c r="E49" s="4" t="s">
        <v>14</v>
      </c>
      <c r="F49" s="4" t="s">
        <v>15</v>
      </c>
      <c r="G49" s="4" t="s">
        <v>110</v>
      </c>
      <c r="H49" s="4" t="s">
        <v>202</v>
      </c>
      <c r="I49" s="4">
        <v>5150900156</v>
      </c>
      <c r="J49" s="4" t="s">
        <v>200</v>
      </c>
    </row>
    <row r="50" spans="1:11" ht="22.5" customHeight="1">
      <c r="A50" s="3">
        <v>46034.376085312499</v>
      </c>
      <c r="B50" s="4" t="s">
        <v>210</v>
      </c>
      <c r="C50" s="4" t="s">
        <v>211</v>
      </c>
      <c r="D50" s="5" t="s">
        <v>199</v>
      </c>
      <c r="E50" s="4" t="s">
        <v>14</v>
      </c>
      <c r="F50" s="4" t="s">
        <v>15</v>
      </c>
      <c r="G50" s="4" t="s">
        <v>110</v>
      </c>
      <c r="H50" s="4" t="s">
        <v>202</v>
      </c>
      <c r="I50" s="4">
        <v>5221100034</v>
      </c>
      <c r="J50" s="4" t="s">
        <v>200</v>
      </c>
    </row>
    <row r="51" spans="1:11" ht="22.5" customHeight="1">
      <c r="A51" s="3">
        <v>46034.37665899306</v>
      </c>
      <c r="B51" s="4" t="s">
        <v>212</v>
      </c>
      <c r="C51" s="4" t="s">
        <v>211</v>
      </c>
      <c r="D51" s="5" t="s">
        <v>199</v>
      </c>
      <c r="E51" s="4" t="s">
        <v>14</v>
      </c>
      <c r="F51" s="4" t="s">
        <v>15</v>
      </c>
      <c r="G51" s="4" t="s">
        <v>110</v>
      </c>
      <c r="H51" s="4" t="s">
        <v>204</v>
      </c>
      <c r="I51" s="4" t="s">
        <v>213</v>
      </c>
      <c r="J51" s="4" t="s">
        <v>205</v>
      </c>
    </row>
    <row r="52" spans="1:11" ht="22.5" customHeight="1">
      <c r="A52" s="3">
        <v>46034.377135706018</v>
      </c>
      <c r="B52" s="4" t="s">
        <v>214</v>
      </c>
      <c r="C52" s="4" t="s">
        <v>211</v>
      </c>
      <c r="D52" s="5" t="s">
        <v>199</v>
      </c>
      <c r="E52" s="4" t="s">
        <v>14</v>
      </c>
      <c r="F52" s="4" t="s">
        <v>15</v>
      </c>
      <c r="G52" s="4" t="s">
        <v>110</v>
      </c>
      <c r="H52" s="4" t="s">
        <v>202</v>
      </c>
      <c r="I52" s="4">
        <v>5180500095</v>
      </c>
      <c r="J52" s="4" t="s">
        <v>200</v>
      </c>
    </row>
    <row r="53" spans="1:11" ht="22.5" customHeight="1">
      <c r="A53" s="3">
        <v>46034.442660000001</v>
      </c>
      <c r="B53" s="4" t="s">
        <v>215</v>
      </c>
      <c r="C53" s="4" t="s">
        <v>216</v>
      </c>
      <c r="D53" s="5" t="s">
        <v>217</v>
      </c>
      <c r="E53" s="4" t="s">
        <v>14</v>
      </c>
      <c r="F53" s="4" t="s">
        <v>15</v>
      </c>
      <c r="G53" s="4" t="s">
        <v>218</v>
      </c>
      <c r="H53" s="4" t="s">
        <v>219</v>
      </c>
      <c r="I53" s="4" t="s">
        <v>32</v>
      </c>
      <c r="J53" s="4" t="s">
        <v>220</v>
      </c>
    </row>
    <row r="54" spans="1:11" ht="22.5" customHeight="1">
      <c r="A54" s="3">
        <v>46034.443661203703</v>
      </c>
      <c r="B54" s="4" t="s">
        <v>221</v>
      </c>
      <c r="C54" s="4" t="s">
        <v>216</v>
      </c>
      <c r="D54" s="5" t="s">
        <v>217</v>
      </c>
      <c r="E54" s="4" t="s">
        <v>14</v>
      </c>
      <c r="F54" s="4" t="s">
        <v>76</v>
      </c>
      <c r="G54" s="4" t="s">
        <v>222</v>
      </c>
      <c r="H54" s="4" t="s">
        <v>32</v>
      </c>
      <c r="I54" s="4" t="s">
        <v>32</v>
      </c>
      <c r="J54" s="4" t="s">
        <v>223</v>
      </c>
    </row>
    <row r="55" spans="1:11" ht="22.5" customHeight="1">
      <c r="A55" s="3">
        <v>46034.444167662034</v>
      </c>
      <c r="B55" s="4" t="s">
        <v>224</v>
      </c>
      <c r="C55" s="4" t="s">
        <v>216</v>
      </c>
      <c r="D55" s="5" t="s">
        <v>217</v>
      </c>
      <c r="E55" s="4" t="s">
        <v>14</v>
      </c>
      <c r="F55" s="4" t="s">
        <v>76</v>
      </c>
      <c r="G55" s="4" t="s">
        <v>32</v>
      </c>
      <c r="H55" s="4" t="s">
        <v>32</v>
      </c>
      <c r="I55" s="4" t="s">
        <v>32</v>
      </c>
      <c r="J55" s="4" t="s">
        <v>225</v>
      </c>
    </row>
    <row r="56" spans="1:11" ht="22.5" customHeight="1">
      <c r="A56" s="3">
        <v>46034.445503599534</v>
      </c>
      <c r="B56" s="4" t="s">
        <v>226</v>
      </c>
      <c r="C56" s="4" t="s">
        <v>216</v>
      </c>
      <c r="D56" s="5" t="s">
        <v>217</v>
      </c>
      <c r="E56" s="4" t="s">
        <v>14</v>
      </c>
      <c r="F56" s="4" t="s">
        <v>76</v>
      </c>
      <c r="G56" s="4" t="s">
        <v>32</v>
      </c>
      <c r="H56" s="4" t="s">
        <v>32</v>
      </c>
      <c r="I56" s="4" t="s">
        <v>32</v>
      </c>
      <c r="J56" s="4" t="s">
        <v>225</v>
      </c>
    </row>
    <row r="57" spans="1:11" ht="22.5" customHeight="1">
      <c r="A57" s="3">
        <v>46034.495425162037</v>
      </c>
      <c r="B57" s="4" t="s">
        <v>227</v>
      </c>
      <c r="C57" s="4" t="s">
        <v>228</v>
      </c>
      <c r="D57" s="5" t="s">
        <v>229</v>
      </c>
      <c r="E57" s="4" t="s">
        <v>14</v>
      </c>
      <c r="F57" s="4" t="s">
        <v>15</v>
      </c>
      <c r="G57" s="4" t="s">
        <v>230</v>
      </c>
      <c r="H57" s="4" t="s">
        <v>231</v>
      </c>
      <c r="I57" s="4" t="s">
        <v>232</v>
      </c>
      <c r="J57" s="4" t="s">
        <v>233</v>
      </c>
    </row>
    <row r="58" spans="1:11" ht="22.5" customHeight="1">
      <c r="A58" s="3">
        <v>46034.603393518519</v>
      </c>
      <c r="B58" s="4" t="s">
        <v>234</v>
      </c>
      <c r="C58" s="4" t="s">
        <v>235</v>
      </c>
      <c r="D58" s="4" t="s">
        <v>32</v>
      </c>
      <c r="E58" s="4" t="s">
        <v>14</v>
      </c>
      <c r="F58" s="4" t="s">
        <v>52</v>
      </c>
      <c r="G58" s="4" t="s">
        <v>79</v>
      </c>
      <c r="H58" s="4" t="s">
        <v>236</v>
      </c>
      <c r="I58" s="4" t="s">
        <v>237</v>
      </c>
      <c r="J58" s="4" t="s">
        <v>238</v>
      </c>
    </row>
    <row r="59" spans="1:11" ht="22.5" customHeight="1">
      <c r="A59" s="3">
        <v>46034.604403877311</v>
      </c>
      <c r="B59" s="4" t="s">
        <v>239</v>
      </c>
      <c r="C59" s="4" t="s">
        <v>235</v>
      </c>
      <c r="D59" s="4" t="s">
        <v>32</v>
      </c>
      <c r="E59" s="4" t="s">
        <v>14</v>
      </c>
      <c r="F59" s="4" t="s">
        <v>52</v>
      </c>
      <c r="G59" s="4" t="s">
        <v>79</v>
      </c>
      <c r="H59" s="4" t="s">
        <v>236</v>
      </c>
      <c r="I59" s="4" t="s">
        <v>240</v>
      </c>
      <c r="J59" s="4" t="s">
        <v>238</v>
      </c>
    </row>
    <row r="60" spans="1:11" ht="22.5" customHeight="1">
      <c r="A60" s="3">
        <v>46034.605087592594</v>
      </c>
      <c r="B60" s="4" t="s">
        <v>241</v>
      </c>
      <c r="C60" s="4" t="s">
        <v>235</v>
      </c>
      <c r="D60" s="4" t="s">
        <v>32</v>
      </c>
      <c r="E60" s="4" t="s">
        <v>14</v>
      </c>
      <c r="F60" s="4" t="s">
        <v>52</v>
      </c>
      <c r="G60" s="4" t="s">
        <v>79</v>
      </c>
      <c r="H60" s="4" t="s">
        <v>236</v>
      </c>
      <c r="I60" s="4" t="s">
        <v>242</v>
      </c>
      <c r="J60" s="4" t="s">
        <v>238</v>
      </c>
    </row>
    <row r="61" spans="1:11" ht="22.5" customHeight="1">
      <c r="A61" s="3">
        <v>46035.444544722224</v>
      </c>
      <c r="B61" s="4" t="s">
        <v>243</v>
      </c>
      <c r="C61" s="4" t="s">
        <v>244</v>
      </c>
      <c r="D61" s="5" t="s">
        <v>191</v>
      </c>
      <c r="E61" s="4" t="s">
        <v>14</v>
      </c>
      <c r="F61" s="4" t="s">
        <v>192</v>
      </c>
      <c r="G61" s="4" t="s">
        <v>193</v>
      </c>
      <c r="H61" s="4" t="s">
        <v>245</v>
      </c>
      <c r="I61" s="4">
        <v>3395</v>
      </c>
      <c r="J61" s="4">
        <v>100</v>
      </c>
    </row>
    <row r="62" spans="1:11" ht="22.5" customHeight="1">
      <c r="A62" s="3">
        <v>46035.461569270832</v>
      </c>
      <c r="B62" s="4" t="s">
        <v>246</v>
      </c>
      <c r="C62" s="4" t="s">
        <v>247</v>
      </c>
      <c r="D62" s="5" t="s">
        <v>229</v>
      </c>
      <c r="E62" s="4" t="s">
        <v>14</v>
      </c>
      <c r="F62" s="4" t="s">
        <v>15</v>
      </c>
      <c r="G62" s="4" t="s">
        <v>230</v>
      </c>
      <c r="H62" s="4" t="s">
        <v>248</v>
      </c>
      <c r="I62" s="4" t="s">
        <v>249</v>
      </c>
      <c r="J62" s="4" t="s">
        <v>233</v>
      </c>
    </row>
    <row r="63" spans="1:11" ht="22.5" customHeight="1">
      <c r="A63" s="3">
        <v>46035.565869085651</v>
      </c>
      <c r="B63" s="4" t="s">
        <v>250</v>
      </c>
      <c r="C63" s="4" t="s">
        <v>251</v>
      </c>
      <c r="D63" s="5" t="s">
        <v>23</v>
      </c>
      <c r="E63" s="4" t="s">
        <v>14</v>
      </c>
      <c r="F63" s="4" t="s">
        <v>52</v>
      </c>
      <c r="G63" s="4" t="s">
        <v>167</v>
      </c>
      <c r="H63" s="4" t="s">
        <v>252</v>
      </c>
      <c r="I63" s="4" t="s">
        <v>253</v>
      </c>
      <c r="J63" s="4" t="s">
        <v>170</v>
      </c>
      <c r="K63" s="6" t="s">
        <v>254</v>
      </c>
    </row>
    <row r="64" spans="1:11" ht="22.5" customHeight="1">
      <c r="A64" s="3">
        <v>46035.568674074078</v>
      </c>
      <c r="B64" s="4" t="s">
        <v>255</v>
      </c>
      <c r="C64" s="4" t="s">
        <v>256</v>
      </c>
      <c r="D64" s="5" t="s">
        <v>23</v>
      </c>
      <c r="E64" s="4" t="s">
        <v>14</v>
      </c>
      <c r="F64" s="4" t="s">
        <v>52</v>
      </c>
      <c r="G64" s="4" t="s">
        <v>167</v>
      </c>
      <c r="H64" s="4" t="s">
        <v>174</v>
      </c>
      <c r="I64" s="4" t="s">
        <v>257</v>
      </c>
      <c r="J64" s="4" t="s">
        <v>176</v>
      </c>
      <c r="K64" s="6" t="s">
        <v>258</v>
      </c>
    </row>
    <row r="65" spans="1:11" ht="22.5" customHeight="1">
      <c r="A65" s="3">
        <v>46035.574120219906</v>
      </c>
      <c r="B65" s="4" t="s">
        <v>259</v>
      </c>
      <c r="C65" s="4" t="s">
        <v>251</v>
      </c>
      <c r="D65" s="5" t="s">
        <v>23</v>
      </c>
      <c r="E65" s="4" t="s">
        <v>14</v>
      </c>
      <c r="F65" s="4" t="s">
        <v>52</v>
      </c>
      <c r="G65" s="4" t="s">
        <v>167</v>
      </c>
      <c r="H65" s="4" t="s">
        <v>260</v>
      </c>
      <c r="I65" s="4" t="s">
        <v>261</v>
      </c>
      <c r="J65" s="4" t="s">
        <v>176</v>
      </c>
      <c r="K65" s="6" t="s">
        <v>262</v>
      </c>
    </row>
    <row r="66" spans="1:11" ht="22.5" customHeight="1">
      <c r="A66" s="3">
        <v>46035.581797106483</v>
      </c>
      <c r="B66" s="4" t="s">
        <v>263</v>
      </c>
      <c r="C66" s="4" t="s">
        <v>251</v>
      </c>
      <c r="D66" s="5" t="s">
        <v>23</v>
      </c>
      <c r="E66" s="4" t="s">
        <v>14</v>
      </c>
      <c r="F66" s="4" t="s">
        <v>52</v>
      </c>
      <c r="G66" s="4" t="s">
        <v>264</v>
      </c>
      <c r="H66" s="4" t="s">
        <v>54</v>
      </c>
      <c r="I66" s="4" t="s">
        <v>265</v>
      </c>
      <c r="J66" s="4" t="s">
        <v>266</v>
      </c>
      <c r="K66" s="6" t="s">
        <v>267</v>
      </c>
    </row>
    <row r="67" spans="1:11" ht="22.5" customHeight="1">
      <c r="A67" s="3">
        <v>46035.648094166667</v>
      </c>
      <c r="B67" s="4" t="s">
        <v>268</v>
      </c>
      <c r="C67" s="4" t="s">
        <v>269</v>
      </c>
      <c r="D67" s="5" t="s">
        <v>270</v>
      </c>
      <c r="E67" s="4" t="s">
        <v>14</v>
      </c>
      <c r="F67" s="4" t="s">
        <v>271</v>
      </c>
      <c r="G67" s="4" t="s">
        <v>272</v>
      </c>
      <c r="H67" s="4" t="s">
        <v>32</v>
      </c>
      <c r="I67" s="4">
        <v>16129</v>
      </c>
      <c r="J67" s="4" t="s">
        <v>273</v>
      </c>
    </row>
    <row r="68" spans="1:11" ht="22.5" customHeight="1">
      <c r="A68" s="3">
        <v>46036.401137939814</v>
      </c>
      <c r="B68" s="4" t="s">
        <v>274</v>
      </c>
      <c r="C68" s="4" t="s">
        <v>275</v>
      </c>
      <c r="D68" s="5" t="s">
        <v>276</v>
      </c>
      <c r="E68" s="4" t="s">
        <v>14</v>
      </c>
      <c r="F68" s="4" t="s">
        <v>52</v>
      </c>
      <c r="G68" s="4" t="s">
        <v>277</v>
      </c>
      <c r="H68" s="4" t="s">
        <v>278</v>
      </c>
      <c r="I68" s="4" t="s">
        <v>279</v>
      </c>
      <c r="J68" s="4" t="s">
        <v>266</v>
      </c>
    </row>
    <row r="69" spans="1:11" ht="22.5" customHeight="1">
      <c r="A69" s="3">
        <v>46036.457584664357</v>
      </c>
      <c r="B69" s="4" t="s">
        <v>246</v>
      </c>
      <c r="C69" s="4" t="s">
        <v>247</v>
      </c>
      <c r="D69" s="5" t="s">
        <v>229</v>
      </c>
      <c r="E69" s="4" t="s">
        <v>14</v>
      </c>
      <c r="F69" s="4" t="s">
        <v>15</v>
      </c>
      <c r="G69" s="4" t="s">
        <v>280</v>
      </c>
      <c r="H69" s="4" t="s">
        <v>281</v>
      </c>
      <c r="I69" s="4" t="s">
        <v>282</v>
      </c>
      <c r="J69" s="4">
        <v>150</v>
      </c>
    </row>
    <row r="70" spans="1:11" ht="22.5" customHeight="1">
      <c r="A70" s="3">
        <v>46036.458154675929</v>
      </c>
      <c r="B70" s="4" t="s">
        <v>274</v>
      </c>
      <c r="C70" s="4" t="s">
        <v>275</v>
      </c>
      <c r="D70" s="5" t="s">
        <v>276</v>
      </c>
      <c r="E70" s="4" t="s">
        <v>14</v>
      </c>
      <c r="F70" s="4" t="s">
        <v>52</v>
      </c>
      <c r="G70" s="4" t="s">
        <v>283</v>
      </c>
      <c r="H70" s="4" t="s">
        <v>284</v>
      </c>
      <c r="I70" s="4" t="s">
        <v>285</v>
      </c>
      <c r="J70" s="4" t="s">
        <v>266</v>
      </c>
    </row>
    <row r="71" spans="1:11" ht="22.5" customHeight="1">
      <c r="A71" s="3">
        <v>46036.470376354162</v>
      </c>
      <c r="B71" s="4" t="s">
        <v>286</v>
      </c>
      <c r="C71" s="4" t="s">
        <v>247</v>
      </c>
      <c r="D71" s="5" t="s">
        <v>229</v>
      </c>
      <c r="E71" s="4" t="s">
        <v>14</v>
      </c>
      <c r="F71" s="4" t="s">
        <v>15</v>
      </c>
      <c r="G71" s="4" t="s">
        <v>230</v>
      </c>
      <c r="H71" s="4" t="s">
        <v>287</v>
      </c>
      <c r="I71" s="4" t="s">
        <v>32</v>
      </c>
      <c r="J71" s="4" t="s">
        <v>288</v>
      </c>
    </row>
    <row r="72" spans="1:11" ht="22.5" customHeight="1">
      <c r="A72" s="3">
        <v>46036.481781875002</v>
      </c>
      <c r="B72" s="4" t="s">
        <v>289</v>
      </c>
      <c r="C72" s="4" t="s">
        <v>275</v>
      </c>
      <c r="D72" s="5" t="s">
        <v>276</v>
      </c>
      <c r="E72" s="4" t="s">
        <v>14</v>
      </c>
      <c r="F72" s="4" t="s">
        <v>52</v>
      </c>
      <c r="G72" s="4" t="s">
        <v>283</v>
      </c>
      <c r="H72" s="4" t="s">
        <v>290</v>
      </c>
      <c r="I72" s="4" t="s">
        <v>291</v>
      </c>
      <c r="J72" s="4" t="s">
        <v>266</v>
      </c>
    </row>
    <row r="73" spans="1:11" ht="22.5" customHeight="1">
      <c r="A73" s="3">
        <v>46036.482476215278</v>
      </c>
      <c r="B73" s="4" t="s">
        <v>292</v>
      </c>
      <c r="C73" s="4" t="s">
        <v>275</v>
      </c>
      <c r="D73" s="5" t="s">
        <v>276</v>
      </c>
      <c r="E73" s="4" t="s">
        <v>14</v>
      </c>
      <c r="F73" s="4" t="s">
        <v>52</v>
      </c>
      <c r="G73" s="4" t="s">
        <v>283</v>
      </c>
      <c r="H73" s="4" t="s">
        <v>293</v>
      </c>
      <c r="I73" s="4" t="s">
        <v>294</v>
      </c>
      <c r="J73" s="4" t="s">
        <v>266</v>
      </c>
    </row>
    <row r="74" spans="1:11" ht="22.5" customHeight="1">
      <c r="A74" s="3">
        <v>46036.545468900462</v>
      </c>
      <c r="B74" s="4" t="s">
        <v>295</v>
      </c>
      <c r="C74" s="4" t="s">
        <v>296</v>
      </c>
      <c r="D74" s="5" t="s">
        <v>297</v>
      </c>
      <c r="E74" s="4" t="s">
        <v>14</v>
      </c>
      <c r="F74" s="4" t="s">
        <v>271</v>
      </c>
      <c r="G74" s="4" t="s">
        <v>64</v>
      </c>
      <c r="H74" s="4" t="s">
        <v>32</v>
      </c>
      <c r="I74" s="4">
        <v>21403</v>
      </c>
      <c r="J74" s="4" t="s">
        <v>298</v>
      </c>
      <c r="K74" s="6" t="s">
        <v>299</v>
      </c>
    </row>
    <row r="75" spans="1:11" ht="22.5" customHeight="1">
      <c r="A75" s="3">
        <v>46037.426922071754</v>
      </c>
      <c r="B75" s="4" t="s">
        <v>300</v>
      </c>
      <c r="C75" s="4" t="s">
        <v>301</v>
      </c>
      <c r="D75" s="5" t="s">
        <v>302</v>
      </c>
      <c r="E75" s="4" t="s">
        <v>14</v>
      </c>
      <c r="F75" s="4" t="s">
        <v>15</v>
      </c>
      <c r="G75" s="4" t="s">
        <v>16</v>
      </c>
      <c r="H75" s="4" t="s">
        <v>303</v>
      </c>
      <c r="I75" s="4" t="s">
        <v>304</v>
      </c>
      <c r="J75" s="4" t="s">
        <v>305</v>
      </c>
    </row>
    <row r="76" spans="1:11" ht="22.5" customHeight="1">
      <c r="A76" s="3">
        <v>46037.571612453699</v>
      </c>
      <c r="B76" s="4" t="s">
        <v>306</v>
      </c>
      <c r="C76" s="4" t="s">
        <v>307</v>
      </c>
      <c r="D76" s="4" t="s">
        <v>32</v>
      </c>
      <c r="E76" s="4" t="s">
        <v>14</v>
      </c>
      <c r="F76" s="4" t="s">
        <v>52</v>
      </c>
      <c r="G76" s="4" t="s">
        <v>308</v>
      </c>
      <c r="H76" s="4" t="s">
        <v>54</v>
      </c>
      <c r="I76" s="4" t="s">
        <v>309</v>
      </c>
      <c r="J76" s="4" t="s">
        <v>266</v>
      </c>
    </row>
    <row r="77" spans="1:11" ht="22.5" customHeight="1">
      <c r="A77" s="3">
        <v>46037.572705983795</v>
      </c>
      <c r="B77" s="4" t="s">
        <v>310</v>
      </c>
      <c r="C77" s="4" t="s">
        <v>307</v>
      </c>
      <c r="D77" s="4" t="s">
        <v>32</v>
      </c>
      <c r="E77" s="4" t="s">
        <v>14</v>
      </c>
      <c r="F77" s="4" t="s">
        <v>52</v>
      </c>
      <c r="G77" s="4" t="s">
        <v>308</v>
      </c>
      <c r="H77" s="4" t="s">
        <v>311</v>
      </c>
      <c r="I77" s="4" t="s">
        <v>312</v>
      </c>
      <c r="J77" s="4" t="s">
        <v>238</v>
      </c>
    </row>
    <row r="78" spans="1:11" ht="22.5" customHeight="1">
      <c r="A78" s="3">
        <v>46037.573711087964</v>
      </c>
      <c r="B78" s="4" t="s">
        <v>313</v>
      </c>
      <c r="C78" s="4" t="s">
        <v>307</v>
      </c>
      <c r="D78" s="4" t="s">
        <v>32</v>
      </c>
      <c r="E78" s="4" t="s">
        <v>14</v>
      </c>
      <c r="F78" s="4" t="s">
        <v>52</v>
      </c>
      <c r="G78" s="4" t="s">
        <v>308</v>
      </c>
      <c r="H78" s="4" t="s">
        <v>54</v>
      </c>
      <c r="I78" s="4" t="s">
        <v>314</v>
      </c>
      <c r="J78" s="4" t="s">
        <v>266</v>
      </c>
    </row>
    <row r="79" spans="1:11" ht="22.5" customHeight="1">
      <c r="A79" s="3">
        <v>46037.574491319443</v>
      </c>
      <c r="B79" s="4" t="s">
        <v>315</v>
      </c>
      <c r="C79" s="4" t="s">
        <v>307</v>
      </c>
      <c r="D79" s="4" t="s">
        <v>32</v>
      </c>
      <c r="E79" s="4" t="s">
        <v>14</v>
      </c>
      <c r="F79" s="4" t="s">
        <v>52</v>
      </c>
      <c r="G79" s="4" t="s">
        <v>308</v>
      </c>
      <c r="H79" s="4" t="s">
        <v>316</v>
      </c>
      <c r="I79" s="5" t="s">
        <v>317</v>
      </c>
      <c r="J79" s="4" t="s">
        <v>266</v>
      </c>
    </row>
    <row r="80" spans="1:11" ht="22.5" customHeight="1">
      <c r="A80" s="3">
        <v>46041.515077118056</v>
      </c>
      <c r="B80" s="4" t="s">
        <v>318</v>
      </c>
      <c r="C80" s="4" t="s">
        <v>319</v>
      </c>
      <c r="D80" s="5" t="s">
        <v>133</v>
      </c>
      <c r="E80" s="4" t="s">
        <v>14</v>
      </c>
      <c r="F80" s="4" t="s">
        <v>15</v>
      </c>
      <c r="G80" s="4" t="s">
        <v>320</v>
      </c>
      <c r="H80" s="4" t="s">
        <v>287</v>
      </c>
      <c r="I80" s="4" t="s">
        <v>321</v>
      </c>
      <c r="J80" s="4" t="s">
        <v>322</v>
      </c>
    </row>
    <row r="81" spans="1:10" ht="22.5" customHeight="1">
      <c r="A81" s="3">
        <v>46041.515697407405</v>
      </c>
      <c r="B81" s="4" t="s">
        <v>323</v>
      </c>
      <c r="C81" s="4" t="s">
        <v>319</v>
      </c>
      <c r="D81" s="5" t="s">
        <v>133</v>
      </c>
      <c r="E81" s="4" t="s">
        <v>14</v>
      </c>
      <c r="F81" s="4" t="s">
        <v>15</v>
      </c>
      <c r="G81" s="4" t="s">
        <v>320</v>
      </c>
      <c r="H81" s="4" t="s">
        <v>287</v>
      </c>
      <c r="I81" s="4" t="s">
        <v>32</v>
      </c>
      <c r="J81" s="4" t="s">
        <v>322</v>
      </c>
    </row>
    <row r="82" spans="1:10" ht="22.5" customHeight="1">
      <c r="A82" s="3">
        <v>46041.517294282407</v>
      </c>
      <c r="B82" s="4" t="s">
        <v>324</v>
      </c>
      <c r="C82" s="4" t="s">
        <v>319</v>
      </c>
      <c r="D82" s="5" t="s">
        <v>133</v>
      </c>
      <c r="E82" s="4" t="s">
        <v>14</v>
      </c>
      <c r="F82" s="4" t="s">
        <v>15</v>
      </c>
      <c r="G82" s="4" t="s">
        <v>320</v>
      </c>
      <c r="H82" s="4" t="s">
        <v>287</v>
      </c>
      <c r="I82" s="4" t="s">
        <v>325</v>
      </c>
      <c r="J82" s="4" t="s">
        <v>322</v>
      </c>
    </row>
    <row r="83" spans="1:10" ht="22.5" customHeight="1">
      <c r="A83" s="3">
        <v>46041.518485613429</v>
      </c>
      <c r="B83" s="4" t="s">
        <v>326</v>
      </c>
      <c r="C83" s="4" t="s">
        <v>319</v>
      </c>
      <c r="D83" s="5" t="s">
        <v>133</v>
      </c>
      <c r="E83" s="4" t="s">
        <v>14</v>
      </c>
      <c r="F83" s="4" t="s">
        <v>15</v>
      </c>
      <c r="G83" s="4" t="s">
        <v>327</v>
      </c>
      <c r="H83" s="4" t="s">
        <v>287</v>
      </c>
      <c r="I83" s="4" t="s">
        <v>328</v>
      </c>
      <c r="J83" s="4" t="s">
        <v>329</v>
      </c>
    </row>
    <row r="84" spans="1:10" ht="22.5" customHeight="1">
      <c r="A84" s="3">
        <v>46041.519741226854</v>
      </c>
      <c r="B84" s="4" t="s">
        <v>330</v>
      </c>
      <c r="C84" s="4" t="s">
        <v>319</v>
      </c>
      <c r="D84" s="5" t="s">
        <v>133</v>
      </c>
      <c r="E84" s="4" t="s">
        <v>14</v>
      </c>
      <c r="F84" s="4" t="s">
        <v>15</v>
      </c>
      <c r="G84" s="4" t="s">
        <v>25</v>
      </c>
      <c r="H84" s="4" t="s">
        <v>331</v>
      </c>
      <c r="I84" s="4" t="s">
        <v>332</v>
      </c>
      <c r="J84" s="4" t="s">
        <v>233</v>
      </c>
    </row>
    <row r="85" spans="1:10" ht="22.5" customHeight="1">
      <c r="A85" s="3">
        <v>46041.52050140046</v>
      </c>
      <c r="B85" s="4" t="s">
        <v>333</v>
      </c>
      <c r="C85" s="4" t="s">
        <v>319</v>
      </c>
      <c r="D85" s="5" t="s">
        <v>133</v>
      </c>
      <c r="E85" s="4" t="s">
        <v>14</v>
      </c>
      <c r="F85" s="4" t="s">
        <v>15</v>
      </c>
      <c r="G85" s="4" t="s">
        <v>25</v>
      </c>
      <c r="H85" s="4" t="s">
        <v>331</v>
      </c>
      <c r="I85" s="4" t="s">
        <v>334</v>
      </c>
      <c r="J85" s="4" t="s">
        <v>233</v>
      </c>
    </row>
    <row r="86" spans="1:10" ht="22.5" customHeight="1">
      <c r="A86" s="3">
        <v>46041.521098784724</v>
      </c>
      <c r="B86" s="4" t="s">
        <v>335</v>
      </c>
      <c r="C86" s="4" t="s">
        <v>319</v>
      </c>
      <c r="D86" s="5" t="s">
        <v>133</v>
      </c>
      <c r="E86" s="4" t="s">
        <v>14</v>
      </c>
      <c r="F86" s="4" t="s">
        <v>76</v>
      </c>
      <c r="G86" s="4" t="s">
        <v>336</v>
      </c>
      <c r="H86" s="4" t="s">
        <v>32</v>
      </c>
      <c r="I86" s="4" t="s">
        <v>32</v>
      </c>
      <c r="J86" s="4" t="s">
        <v>223</v>
      </c>
    </row>
    <row r="87" spans="1:10" ht="22.5" customHeight="1">
      <c r="A87" s="3">
        <v>46041.521917754631</v>
      </c>
      <c r="B87" s="4" t="s">
        <v>337</v>
      </c>
      <c r="C87" s="4" t="s">
        <v>319</v>
      </c>
      <c r="D87" s="5" t="s">
        <v>133</v>
      </c>
      <c r="E87" s="4" t="s">
        <v>14</v>
      </c>
      <c r="F87" s="4" t="s">
        <v>76</v>
      </c>
      <c r="G87" s="4" t="s">
        <v>32</v>
      </c>
      <c r="H87" s="4" t="s">
        <v>32</v>
      </c>
      <c r="I87" s="4" t="s">
        <v>32</v>
      </c>
      <c r="J87" s="4" t="s">
        <v>338</v>
      </c>
    </row>
    <row r="88" spans="1:10" ht="22.5" customHeight="1">
      <c r="A88" s="3">
        <v>46041.529533541667</v>
      </c>
      <c r="B88" s="4" t="s">
        <v>339</v>
      </c>
      <c r="C88" s="4" t="s">
        <v>340</v>
      </c>
      <c r="D88" s="5" t="s">
        <v>341</v>
      </c>
      <c r="E88" s="4" t="s">
        <v>14</v>
      </c>
      <c r="F88" s="4" t="s">
        <v>271</v>
      </c>
      <c r="G88" s="4" t="s">
        <v>342</v>
      </c>
      <c r="I88" s="4">
        <v>22812</v>
      </c>
      <c r="J88" s="4" t="s">
        <v>298</v>
      </c>
    </row>
    <row r="89" spans="1:10" ht="22.5" customHeight="1">
      <c r="A89" s="3">
        <v>46041.564056782408</v>
      </c>
      <c r="B89" s="4" t="s">
        <v>343</v>
      </c>
      <c r="C89" s="4" t="s">
        <v>344</v>
      </c>
      <c r="D89" s="5" t="s">
        <v>345</v>
      </c>
      <c r="E89" s="4" t="s">
        <v>14</v>
      </c>
      <c r="F89" s="4" t="s">
        <v>52</v>
      </c>
      <c r="G89" s="4" t="s">
        <v>167</v>
      </c>
      <c r="H89" s="4" t="s">
        <v>346</v>
      </c>
      <c r="I89" s="4" t="s">
        <v>347</v>
      </c>
      <c r="J89" s="4" t="s">
        <v>238</v>
      </c>
    </row>
    <row r="90" spans="1:10" ht="22.5" customHeight="1">
      <c r="A90" s="3">
        <v>46041.564928993059</v>
      </c>
      <c r="B90" s="4" t="s">
        <v>348</v>
      </c>
      <c r="C90" s="4" t="s">
        <v>344</v>
      </c>
      <c r="D90" s="5" t="s">
        <v>345</v>
      </c>
      <c r="E90" s="4" t="s">
        <v>14</v>
      </c>
      <c r="F90" s="4" t="s">
        <v>52</v>
      </c>
      <c r="G90" s="4" t="s">
        <v>179</v>
      </c>
      <c r="H90" s="4" t="s">
        <v>349</v>
      </c>
      <c r="I90" s="4" t="s">
        <v>350</v>
      </c>
      <c r="J90" s="4" t="s">
        <v>351</v>
      </c>
    </row>
    <row r="91" spans="1:10" ht="22.5" customHeight="1">
      <c r="A91" s="3">
        <v>46041.565706851849</v>
      </c>
      <c r="B91" s="4" t="s">
        <v>352</v>
      </c>
      <c r="C91" s="4" t="s">
        <v>344</v>
      </c>
      <c r="D91" s="5" t="s">
        <v>345</v>
      </c>
      <c r="E91" s="4" t="s">
        <v>14</v>
      </c>
      <c r="F91" s="4" t="s">
        <v>52</v>
      </c>
      <c r="G91" s="4" t="s">
        <v>179</v>
      </c>
      <c r="H91" s="4" t="s">
        <v>353</v>
      </c>
      <c r="I91" s="4" t="s">
        <v>354</v>
      </c>
      <c r="J91" s="4" t="s">
        <v>351</v>
      </c>
    </row>
    <row r="92" spans="1:10" ht="22.5" customHeight="1">
      <c r="A92" s="3">
        <v>46041.56657894676</v>
      </c>
      <c r="B92" s="4" t="s">
        <v>355</v>
      </c>
      <c r="C92" s="4" t="s">
        <v>344</v>
      </c>
      <c r="D92" s="5" t="s">
        <v>345</v>
      </c>
      <c r="E92" s="4" t="s">
        <v>14</v>
      </c>
      <c r="F92" s="4" t="s">
        <v>52</v>
      </c>
      <c r="G92" s="4" t="s">
        <v>179</v>
      </c>
      <c r="H92" s="4" t="s">
        <v>356</v>
      </c>
      <c r="I92" s="4" t="s">
        <v>357</v>
      </c>
      <c r="J92" s="4" t="s">
        <v>238</v>
      </c>
    </row>
    <row r="93" spans="1:10" ht="22.5" customHeight="1">
      <c r="A93" s="3">
        <v>46041.794796678238</v>
      </c>
      <c r="B93" s="4" t="s">
        <v>358</v>
      </c>
      <c r="C93" s="4" t="s">
        <v>359</v>
      </c>
      <c r="D93" s="5" t="s">
        <v>360</v>
      </c>
      <c r="E93" s="4" t="s">
        <v>14</v>
      </c>
      <c r="F93" s="4" t="s">
        <v>52</v>
      </c>
      <c r="G93" s="4" t="s">
        <v>167</v>
      </c>
      <c r="H93" s="4" t="s">
        <v>361</v>
      </c>
      <c r="I93" s="4" t="s">
        <v>362</v>
      </c>
      <c r="J93" s="4" t="s">
        <v>363</v>
      </c>
    </row>
    <row r="94" spans="1:10" ht="22.5" customHeight="1">
      <c r="A94" s="3">
        <v>46041.796094282407</v>
      </c>
      <c r="B94" s="4" t="s">
        <v>364</v>
      </c>
      <c r="C94" s="4" t="s">
        <v>359</v>
      </c>
      <c r="D94" s="4">
        <v>0</v>
      </c>
      <c r="E94" s="4" t="s">
        <v>14</v>
      </c>
      <c r="F94" s="4" t="s">
        <v>52</v>
      </c>
      <c r="G94" s="4" t="s">
        <v>167</v>
      </c>
      <c r="H94" s="4" t="s">
        <v>361</v>
      </c>
      <c r="I94" s="4" t="s">
        <v>365</v>
      </c>
      <c r="J94" s="4" t="s">
        <v>170</v>
      </c>
    </row>
    <row r="95" spans="1:10" ht="22.5" customHeight="1">
      <c r="A95" s="3">
        <v>46041.797027766203</v>
      </c>
      <c r="B95" s="4" t="s">
        <v>366</v>
      </c>
      <c r="C95" s="4" t="s">
        <v>359</v>
      </c>
      <c r="D95" s="4">
        <v>0</v>
      </c>
      <c r="E95" s="4" t="s">
        <v>14</v>
      </c>
      <c r="F95" s="4" t="s">
        <v>52</v>
      </c>
      <c r="G95" s="4" t="s">
        <v>167</v>
      </c>
      <c r="H95" s="4" t="s">
        <v>361</v>
      </c>
      <c r="I95" s="4" t="s">
        <v>367</v>
      </c>
      <c r="J95" s="4" t="s">
        <v>170</v>
      </c>
    </row>
    <row r="96" spans="1:10" ht="22.5" customHeight="1">
      <c r="A96" s="3">
        <v>46041.797924537037</v>
      </c>
      <c r="B96" s="4" t="s">
        <v>368</v>
      </c>
      <c r="C96" s="4" t="s">
        <v>359</v>
      </c>
      <c r="D96" s="4">
        <v>0</v>
      </c>
      <c r="E96" s="4" t="s">
        <v>14</v>
      </c>
      <c r="F96" s="4" t="s">
        <v>52</v>
      </c>
      <c r="G96" s="4" t="s">
        <v>167</v>
      </c>
      <c r="H96" s="4" t="s">
        <v>361</v>
      </c>
      <c r="I96" s="4" t="s">
        <v>369</v>
      </c>
      <c r="J96" s="4" t="s">
        <v>170</v>
      </c>
    </row>
    <row r="97" spans="1:11" ht="22.5" customHeight="1">
      <c r="A97" s="3">
        <v>46042.422490104167</v>
      </c>
      <c r="B97" s="4" t="s">
        <v>370</v>
      </c>
      <c r="C97" s="4" t="s">
        <v>371</v>
      </c>
      <c r="D97" s="5" t="s">
        <v>372</v>
      </c>
      <c r="E97" s="4" t="s">
        <v>14</v>
      </c>
      <c r="F97" s="4" t="s">
        <v>15</v>
      </c>
      <c r="G97" s="4" t="s">
        <v>102</v>
      </c>
      <c r="H97" s="4" t="s">
        <v>373</v>
      </c>
      <c r="I97" s="4" t="s">
        <v>374</v>
      </c>
      <c r="J97" s="4" t="s">
        <v>19</v>
      </c>
      <c r="K97" s="6" t="s">
        <v>375</v>
      </c>
    </row>
    <row r="98" spans="1:11" ht="22.5" customHeight="1">
      <c r="A98" s="3">
        <v>46043.803873530094</v>
      </c>
      <c r="B98" s="4" t="s">
        <v>376</v>
      </c>
      <c r="C98" s="4" t="s">
        <v>377</v>
      </c>
      <c r="D98" s="4">
        <v>81805863292</v>
      </c>
      <c r="E98" s="4" t="s">
        <v>14</v>
      </c>
      <c r="F98" s="4" t="s">
        <v>52</v>
      </c>
      <c r="G98" s="4" t="s">
        <v>167</v>
      </c>
      <c r="H98" s="4" t="s">
        <v>361</v>
      </c>
      <c r="I98" s="4" t="s">
        <v>378</v>
      </c>
      <c r="J98" s="4" t="s">
        <v>170</v>
      </c>
      <c r="K98" s="6" t="s">
        <v>379</v>
      </c>
    </row>
    <row r="99" spans="1:11" ht="22.5" customHeight="1">
      <c r="A99" s="3">
        <v>46043.805656817131</v>
      </c>
      <c r="B99" s="4" t="s">
        <v>380</v>
      </c>
      <c r="C99" s="4" t="s">
        <v>377</v>
      </c>
      <c r="D99" s="4">
        <v>81805863292</v>
      </c>
      <c r="E99" s="4" t="s">
        <v>14</v>
      </c>
      <c r="F99" s="4" t="s">
        <v>52</v>
      </c>
      <c r="G99" s="4" t="s">
        <v>167</v>
      </c>
      <c r="H99" s="4" t="s">
        <v>361</v>
      </c>
      <c r="I99" s="4" t="s">
        <v>381</v>
      </c>
      <c r="J99" s="4" t="s">
        <v>170</v>
      </c>
      <c r="K99" s="6" t="s">
        <v>382</v>
      </c>
    </row>
    <row r="100" spans="1:11" ht="22.5" customHeight="1">
      <c r="A100" s="3">
        <v>46043.807403055558</v>
      </c>
      <c r="B100" s="4" t="s">
        <v>383</v>
      </c>
      <c r="C100" s="4" t="s">
        <v>377</v>
      </c>
      <c r="D100" s="4">
        <v>81805863292</v>
      </c>
      <c r="E100" s="4" t="s">
        <v>14</v>
      </c>
      <c r="F100" s="4" t="s">
        <v>52</v>
      </c>
      <c r="G100" s="4" t="s">
        <v>167</v>
      </c>
      <c r="H100" s="4" t="s">
        <v>361</v>
      </c>
      <c r="I100" s="4" t="s">
        <v>384</v>
      </c>
      <c r="J100" s="4" t="s">
        <v>170</v>
      </c>
      <c r="K100" s="6" t="s">
        <v>385</v>
      </c>
    </row>
    <row r="101" spans="1:11" ht="22.5" customHeight="1">
      <c r="A101" s="3">
        <v>46043.808685104166</v>
      </c>
      <c r="B101" s="4" t="s">
        <v>386</v>
      </c>
      <c r="C101" s="4" t="s">
        <v>377</v>
      </c>
      <c r="D101" s="4">
        <v>81805863292</v>
      </c>
      <c r="E101" s="4" t="s">
        <v>14</v>
      </c>
      <c r="F101" s="4" t="s">
        <v>52</v>
      </c>
      <c r="G101" s="4" t="s">
        <v>167</v>
      </c>
      <c r="H101" s="4" t="s">
        <v>361</v>
      </c>
      <c r="I101" s="4" t="s">
        <v>387</v>
      </c>
      <c r="J101" s="4" t="s">
        <v>170</v>
      </c>
      <c r="K101" s="6" t="s">
        <v>388</v>
      </c>
    </row>
    <row r="102" spans="1:11" ht="22.5" customHeight="1">
      <c r="A102" s="3">
        <v>46044.395809490743</v>
      </c>
      <c r="B102" s="4" t="s">
        <v>389</v>
      </c>
      <c r="C102" s="4" t="s">
        <v>390</v>
      </c>
      <c r="D102" s="5" t="s">
        <v>391</v>
      </c>
      <c r="E102" s="4" t="s">
        <v>14</v>
      </c>
      <c r="F102" s="4" t="s">
        <v>271</v>
      </c>
      <c r="G102" s="4" t="s">
        <v>64</v>
      </c>
      <c r="H102" s="4" t="s">
        <v>32</v>
      </c>
      <c r="I102" s="4">
        <v>22256</v>
      </c>
      <c r="J102" s="4" t="s">
        <v>392</v>
      </c>
      <c r="K102" s="6" t="s">
        <v>393</v>
      </c>
    </row>
    <row r="103" spans="1:11" ht="22.5" customHeight="1">
      <c r="A103" s="3">
        <v>46044.599154537034</v>
      </c>
      <c r="B103" s="4" t="s">
        <v>394</v>
      </c>
      <c r="C103" s="4" t="s">
        <v>395</v>
      </c>
      <c r="D103" s="4" t="s">
        <v>32</v>
      </c>
      <c r="E103" s="4" t="s">
        <v>14</v>
      </c>
      <c r="F103" s="4" t="s">
        <v>52</v>
      </c>
      <c r="G103" s="4" t="s">
        <v>396</v>
      </c>
      <c r="H103" s="4" t="s">
        <v>397</v>
      </c>
      <c r="I103" s="4" t="s">
        <v>398</v>
      </c>
      <c r="J103" s="4" t="s">
        <v>399</v>
      </c>
    </row>
    <row r="104" spans="1:11" ht="22.5" customHeight="1">
      <c r="A104" s="3">
        <v>46044.600199976849</v>
      </c>
      <c r="B104" s="4" t="s">
        <v>400</v>
      </c>
      <c r="C104" s="4" t="s">
        <v>395</v>
      </c>
      <c r="D104" s="4" t="s">
        <v>32</v>
      </c>
      <c r="E104" s="4" t="s">
        <v>14</v>
      </c>
      <c r="F104" s="4" t="s">
        <v>52</v>
      </c>
      <c r="G104" s="4" t="s">
        <v>396</v>
      </c>
      <c r="H104" s="4" t="s">
        <v>401</v>
      </c>
      <c r="I104" s="5" t="s">
        <v>402</v>
      </c>
      <c r="J104" s="4" t="s">
        <v>399</v>
      </c>
    </row>
    <row r="105" spans="1:11" ht="22.5" customHeight="1">
      <c r="A105" s="3">
        <v>46044.600690879626</v>
      </c>
      <c r="B105" s="4" t="s">
        <v>403</v>
      </c>
      <c r="C105" s="4" t="s">
        <v>395</v>
      </c>
      <c r="D105" s="4" t="s">
        <v>32</v>
      </c>
      <c r="E105" s="4" t="s">
        <v>14</v>
      </c>
      <c r="F105" s="4" t="s">
        <v>52</v>
      </c>
      <c r="G105" s="4" t="s">
        <v>396</v>
      </c>
      <c r="H105" s="4" t="s">
        <v>401</v>
      </c>
      <c r="I105" s="4" t="s">
        <v>404</v>
      </c>
      <c r="J105" s="4" t="s">
        <v>399</v>
      </c>
    </row>
    <row r="106" spans="1:11" ht="22.5" customHeight="1">
      <c r="A106" s="3">
        <v>46044.646548101853</v>
      </c>
      <c r="B106" s="4" t="s">
        <v>405</v>
      </c>
      <c r="C106" s="4" t="s">
        <v>406</v>
      </c>
      <c r="D106" s="5" t="s">
        <v>407</v>
      </c>
      <c r="E106" s="4" t="s">
        <v>14</v>
      </c>
      <c r="F106" s="4" t="s">
        <v>15</v>
      </c>
      <c r="G106" s="4" t="s">
        <v>16</v>
      </c>
      <c r="H106" s="4" t="s">
        <v>408</v>
      </c>
      <c r="I106" s="4" t="s">
        <v>409</v>
      </c>
      <c r="J106" s="4" t="s">
        <v>163</v>
      </c>
    </row>
    <row r="107" spans="1:11" ht="22.5" customHeight="1">
      <c r="A107" s="3">
        <v>46048.39355331019</v>
      </c>
      <c r="B107" s="4" t="s">
        <v>410</v>
      </c>
      <c r="C107" s="4" t="s">
        <v>411</v>
      </c>
      <c r="D107" s="5" t="s">
        <v>412</v>
      </c>
      <c r="E107" s="4" t="s">
        <v>14</v>
      </c>
      <c r="F107" s="4" t="s">
        <v>15</v>
      </c>
      <c r="G107" s="4" t="s">
        <v>110</v>
      </c>
      <c r="H107" s="4" t="s">
        <v>413</v>
      </c>
      <c r="I107" s="4" t="s">
        <v>414</v>
      </c>
      <c r="J107" s="4" t="s">
        <v>415</v>
      </c>
    </row>
    <row r="108" spans="1:11" ht="22.5" customHeight="1">
      <c r="A108" s="3">
        <v>46048.395114548606</v>
      </c>
      <c r="B108" s="4" t="s">
        <v>416</v>
      </c>
      <c r="C108" s="4" t="s">
        <v>411</v>
      </c>
      <c r="D108" s="5" t="s">
        <v>412</v>
      </c>
      <c r="E108" s="4" t="s">
        <v>14</v>
      </c>
      <c r="F108" s="4" t="s">
        <v>15</v>
      </c>
      <c r="G108" s="4" t="s">
        <v>110</v>
      </c>
      <c r="H108" s="4" t="s">
        <v>413</v>
      </c>
      <c r="I108" s="4">
        <v>14656097</v>
      </c>
      <c r="J108" s="4" t="s">
        <v>415</v>
      </c>
    </row>
    <row r="109" spans="1:11" ht="22.5" customHeight="1">
      <c r="A109" s="3">
        <v>46048.430539687499</v>
      </c>
      <c r="B109" s="4" t="s">
        <v>417</v>
      </c>
      <c r="C109" s="4" t="s">
        <v>418</v>
      </c>
      <c r="D109" s="4">
        <v>82143665635</v>
      </c>
      <c r="E109" s="4" t="s">
        <v>14</v>
      </c>
      <c r="F109" s="4" t="s">
        <v>52</v>
      </c>
      <c r="G109" s="4" t="s">
        <v>53</v>
      </c>
      <c r="H109" s="4" t="s">
        <v>419</v>
      </c>
      <c r="I109" s="4" t="s">
        <v>420</v>
      </c>
      <c r="J109" s="4" t="s">
        <v>238</v>
      </c>
    </row>
    <row r="110" spans="1:11" ht="22.5" customHeight="1">
      <c r="A110" s="3">
        <v>46048.431748645831</v>
      </c>
      <c r="B110" s="4" t="s">
        <v>421</v>
      </c>
      <c r="C110" s="4" t="s">
        <v>418</v>
      </c>
      <c r="D110" s="4">
        <v>82143665635</v>
      </c>
      <c r="E110" s="4" t="s">
        <v>14</v>
      </c>
      <c r="F110" s="4" t="s">
        <v>52</v>
      </c>
      <c r="G110" s="4" t="s">
        <v>53</v>
      </c>
      <c r="H110" s="4" t="s">
        <v>139</v>
      </c>
      <c r="I110" s="4" t="s">
        <v>422</v>
      </c>
      <c r="J110" s="4" t="s">
        <v>238</v>
      </c>
    </row>
    <row r="111" spans="1:11" ht="22.5" customHeight="1">
      <c r="A111" s="3">
        <v>46048.43277269676</v>
      </c>
      <c r="B111" s="4" t="s">
        <v>423</v>
      </c>
      <c r="C111" s="4" t="s">
        <v>418</v>
      </c>
      <c r="D111" s="4">
        <v>82143665635</v>
      </c>
      <c r="E111" s="4" t="s">
        <v>14</v>
      </c>
      <c r="F111" s="4" t="s">
        <v>52</v>
      </c>
      <c r="G111" s="4" t="s">
        <v>53</v>
      </c>
      <c r="H111" s="4" t="s">
        <v>147</v>
      </c>
      <c r="I111" s="4" t="s">
        <v>424</v>
      </c>
      <c r="J111" s="4" t="s">
        <v>238</v>
      </c>
    </row>
    <row r="112" spans="1:11" ht="22.5" customHeight="1">
      <c r="A112" s="3">
        <v>46048.565979756946</v>
      </c>
      <c r="B112" s="4" t="s">
        <v>425</v>
      </c>
      <c r="C112" s="4" t="s">
        <v>426</v>
      </c>
      <c r="D112" s="5" t="s">
        <v>23</v>
      </c>
      <c r="E112" s="4" t="s">
        <v>14</v>
      </c>
      <c r="F112" s="4" t="s">
        <v>52</v>
      </c>
      <c r="G112" s="4" t="s">
        <v>167</v>
      </c>
      <c r="H112" s="4" t="s">
        <v>427</v>
      </c>
      <c r="I112" s="4" t="s">
        <v>428</v>
      </c>
      <c r="J112" s="4" t="s">
        <v>238</v>
      </c>
      <c r="K112" s="6" t="s">
        <v>429</v>
      </c>
    </row>
    <row r="113" spans="1:11" ht="22.5" customHeight="1">
      <c r="A113" s="3">
        <v>46048.573199756946</v>
      </c>
      <c r="B113" s="4" t="s">
        <v>430</v>
      </c>
      <c r="C113" s="4" t="s">
        <v>426</v>
      </c>
      <c r="D113" s="5" t="s">
        <v>23</v>
      </c>
      <c r="E113" s="4" t="s">
        <v>14</v>
      </c>
      <c r="F113" s="4" t="s">
        <v>52</v>
      </c>
      <c r="G113" s="4" t="s">
        <v>167</v>
      </c>
      <c r="H113" s="4" t="s">
        <v>431</v>
      </c>
      <c r="I113" s="4" t="s">
        <v>432</v>
      </c>
      <c r="J113" s="4" t="s">
        <v>238</v>
      </c>
      <c r="K113" s="6" t="s">
        <v>433</v>
      </c>
    </row>
    <row r="114" spans="1:11" ht="22.5" customHeight="1">
      <c r="A114" s="3">
        <v>46048.575456388891</v>
      </c>
      <c r="B114" s="4" t="s">
        <v>434</v>
      </c>
      <c r="C114" s="4" t="s">
        <v>426</v>
      </c>
      <c r="D114" s="5" t="s">
        <v>23</v>
      </c>
      <c r="E114" s="4" t="s">
        <v>14</v>
      </c>
      <c r="F114" s="4" t="s">
        <v>52</v>
      </c>
      <c r="G114" s="4" t="s">
        <v>264</v>
      </c>
      <c r="H114" s="4" t="s">
        <v>435</v>
      </c>
      <c r="I114" s="4" t="s">
        <v>436</v>
      </c>
      <c r="J114" s="4" t="s">
        <v>266</v>
      </c>
      <c r="K114" s="6" t="s">
        <v>437</v>
      </c>
    </row>
    <row r="115" spans="1:11" ht="22.5" customHeight="1">
      <c r="A115" s="3">
        <v>46050.350637141208</v>
      </c>
      <c r="B115" s="4" t="s">
        <v>438</v>
      </c>
      <c r="C115" s="4" t="s">
        <v>439</v>
      </c>
      <c r="D115" s="4" t="s">
        <v>32</v>
      </c>
      <c r="E115" s="4" t="s">
        <v>14</v>
      </c>
      <c r="F115" s="4" t="s">
        <v>52</v>
      </c>
      <c r="G115" s="4" t="s">
        <v>440</v>
      </c>
      <c r="H115" s="4" t="s">
        <v>441</v>
      </c>
      <c r="I115" s="4" t="s">
        <v>442</v>
      </c>
      <c r="J115" s="4" t="s">
        <v>443</v>
      </c>
    </row>
    <row r="116" spans="1:11" ht="22.5" customHeight="1">
      <c r="A116" s="3">
        <v>46050.361808877315</v>
      </c>
      <c r="B116" s="4" t="s">
        <v>444</v>
      </c>
      <c r="C116" s="4" t="s">
        <v>445</v>
      </c>
      <c r="D116" s="4" t="s">
        <v>32</v>
      </c>
      <c r="E116" s="4" t="s">
        <v>14</v>
      </c>
      <c r="F116" s="4" t="s">
        <v>52</v>
      </c>
      <c r="G116" s="4" t="s">
        <v>167</v>
      </c>
      <c r="H116" s="4" t="s">
        <v>446</v>
      </c>
      <c r="I116" s="4" t="s">
        <v>447</v>
      </c>
      <c r="J116" s="4" t="s">
        <v>170</v>
      </c>
    </row>
    <row r="117" spans="1:11" ht="22.5" customHeight="1">
      <c r="A117" s="3">
        <v>46050.362441956022</v>
      </c>
      <c r="B117" s="4" t="s">
        <v>448</v>
      </c>
      <c r="C117" s="4" t="s">
        <v>445</v>
      </c>
      <c r="D117" s="4" t="s">
        <v>32</v>
      </c>
      <c r="E117" s="4" t="s">
        <v>14</v>
      </c>
      <c r="F117" s="4" t="s">
        <v>52</v>
      </c>
      <c r="G117" s="4" t="s">
        <v>167</v>
      </c>
      <c r="H117" s="4" t="s">
        <v>449</v>
      </c>
      <c r="I117" s="4" t="s">
        <v>450</v>
      </c>
      <c r="J117" s="4" t="s">
        <v>170</v>
      </c>
    </row>
    <row r="118" spans="1:11" ht="22.5" customHeight="1">
      <c r="A118" s="3">
        <v>46050.363024236111</v>
      </c>
      <c r="B118" s="4" t="s">
        <v>451</v>
      </c>
      <c r="C118" s="4" t="s">
        <v>445</v>
      </c>
      <c r="D118" s="4" t="s">
        <v>32</v>
      </c>
      <c r="E118" s="4" t="s">
        <v>14</v>
      </c>
      <c r="F118" s="4" t="s">
        <v>52</v>
      </c>
      <c r="G118" s="4" t="s">
        <v>167</v>
      </c>
      <c r="H118" s="4" t="s">
        <v>449</v>
      </c>
      <c r="I118" s="4" t="s">
        <v>452</v>
      </c>
      <c r="J118" s="4" t="s">
        <v>170</v>
      </c>
    </row>
    <row r="119" spans="1:11" ht="22.5" customHeight="1">
      <c r="A119" s="3">
        <v>46050.555982962964</v>
      </c>
      <c r="B119" s="4" t="s">
        <v>453</v>
      </c>
      <c r="C119" s="4" t="s">
        <v>454</v>
      </c>
      <c r="D119" s="5" t="s">
        <v>455</v>
      </c>
      <c r="E119" s="4" t="s">
        <v>14</v>
      </c>
      <c r="F119" s="4" t="s">
        <v>52</v>
      </c>
      <c r="G119" s="4" t="s">
        <v>179</v>
      </c>
      <c r="H119" s="4" t="s">
        <v>353</v>
      </c>
      <c r="I119" s="4" t="s">
        <v>456</v>
      </c>
      <c r="J119" s="4" t="s">
        <v>351</v>
      </c>
    </row>
    <row r="120" spans="1:11" ht="22.5" customHeight="1">
      <c r="A120" s="3">
        <v>46050.556732280093</v>
      </c>
      <c r="B120" s="4" t="s">
        <v>457</v>
      </c>
      <c r="C120" s="4" t="s">
        <v>454</v>
      </c>
      <c r="D120" s="5" t="s">
        <v>455</v>
      </c>
      <c r="E120" s="4" t="s">
        <v>14</v>
      </c>
      <c r="F120" s="4" t="s">
        <v>52</v>
      </c>
      <c r="G120" s="4" t="s">
        <v>458</v>
      </c>
      <c r="H120" s="4" t="s">
        <v>449</v>
      </c>
      <c r="I120" s="4" t="s">
        <v>459</v>
      </c>
      <c r="J120" s="4" t="s">
        <v>460</v>
      </c>
    </row>
    <row r="121" spans="1:11" ht="22.5" customHeight="1">
      <c r="A121" s="3">
        <v>46050.55740716435</v>
      </c>
      <c r="B121" s="4" t="s">
        <v>461</v>
      </c>
      <c r="C121" s="4" t="s">
        <v>454</v>
      </c>
      <c r="D121" s="5" t="s">
        <v>455</v>
      </c>
      <c r="E121" s="4" t="s">
        <v>14</v>
      </c>
      <c r="F121" s="4" t="s">
        <v>52</v>
      </c>
      <c r="G121" s="4" t="s">
        <v>462</v>
      </c>
      <c r="H121" s="4" t="s">
        <v>449</v>
      </c>
      <c r="I121" s="4" t="s">
        <v>463</v>
      </c>
      <c r="J121" s="4" t="s">
        <v>351</v>
      </c>
    </row>
    <row r="122" spans="1:11" ht="22.5" customHeight="1">
      <c r="A122" s="3">
        <v>46050.619808391202</v>
      </c>
      <c r="B122" s="4" t="s">
        <v>464</v>
      </c>
      <c r="C122" s="4" t="s">
        <v>465</v>
      </c>
      <c r="D122" s="5" t="s">
        <v>466</v>
      </c>
      <c r="E122" s="4" t="s">
        <v>14</v>
      </c>
      <c r="F122" s="4" t="s">
        <v>15</v>
      </c>
      <c r="G122" s="4" t="s">
        <v>218</v>
      </c>
      <c r="H122" s="4" t="s">
        <v>467</v>
      </c>
      <c r="I122" s="4" t="s">
        <v>468</v>
      </c>
      <c r="J122" s="4" t="s">
        <v>469</v>
      </c>
    </row>
    <row r="123" spans="1:11" ht="22.5" customHeight="1">
      <c r="A123" s="3">
        <v>46051.471427951386</v>
      </c>
      <c r="B123" s="4" t="s">
        <v>470</v>
      </c>
      <c r="C123" s="4" t="s">
        <v>471</v>
      </c>
      <c r="D123" s="5" t="s">
        <v>472</v>
      </c>
      <c r="E123" s="4" t="s">
        <v>14</v>
      </c>
      <c r="F123" s="4" t="s">
        <v>271</v>
      </c>
      <c r="G123" s="4" t="s">
        <v>64</v>
      </c>
      <c r="H123" s="4" t="s">
        <v>32</v>
      </c>
      <c r="I123" s="4">
        <v>231043</v>
      </c>
      <c r="J123" s="4" t="s">
        <v>473</v>
      </c>
      <c r="K123" s="6" t="s">
        <v>474</v>
      </c>
    </row>
    <row r="124" spans="1:11" ht="22.5" customHeight="1">
      <c r="A124" s="3">
        <v>46051.599493171292</v>
      </c>
      <c r="B124" s="4" t="s">
        <v>475</v>
      </c>
      <c r="C124" s="4" t="s">
        <v>476</v>
      </c>
      <c r="D124" s="5" t="s">
        <v>23</v>
      </c>
      <c r="E124" s="4" t="s">
        <v>14</v>
      </c>
      <c r="F124" s="4" t="s">
        <v>52</v>
      </c>
      <c r="G124" s="4" t="s">
        <v>264</v>
      </c>
      <c r="H124" s="4" t="s">
        <v>477</v>
      </c>
      <c r="I124" s="4" t="s">
        <v>55</v>
      </c>
      <c r="J124" s="4" t="s">
        <v>443</v>
      </c>
      <c r="K124" s="6" t="s">
        <v>478</v>
      </c>
    </row>
    <row r="125" spans="1:11" ht="22.5" customHeight="1">
      <c r="A125" s="3">
        <v>46051.616823402779</v>
      </c>
      <c r="B125" s="4" t="s">
        <v>479</v>
      </c>
      <c r="C125" s="4" t="s">
        <v>480</v>
      </c>
      <c r="D125" s="5" t="s">
        <v>23</v>
      </c>
      <c r="E125" s="4" t="s">
        <v>14</v>
      </c>
      <c r="F125" s="4" t="s">
        <v>52</v>
      </c>
      <c r="G125" s="4" t="s">
        <v>167</v>
      </c>
      <c r="H125" s="4" t="s">
        <v>183</v>
      </c>
      <c r="I125" s="4" t="s">
        <v>481</v>
      </c>
      <c r="J125" s="4" t="s">
        <v>176</v>
      </c>
    </row>
    <row r="126" spans="1:11" ht="22.5" customHeight="1">
      <c r="A126" s="3">
        <v>46051.620980289357</v>
      </c>
      <c r="B126" s="4" t="s">
        <v>482</v>
      </c>
      <c r="C126" s="4" t="s">
        <v>480</v>
      </c>
      <c r="D126" s="5" t="s">
        <v>23</v>
      </c>
      <c r="E126" s="4" t="s">
        <v>14</v>
      </c>
      <c r="F126" s="4" t="s">
        <v>52</v>
      </c>
      <c r="G126" s="4" t="s">
        <v>167</v>
      </c>
      <c r="H126" s="4" t="s">
        <v>183</v>
      </c>
      <c r="I126" s="4" t="s">
        <v>483</v>
      </c>
      <c r="J126" s="4" t="s">
        <v>176</v>
      </c>
    </row>
    <row r="127" spans="1:11" ht="22.5" customHeight="1">
      <c r="A127" s="3">
        <v>46051.62231446759</v>
      </c>
      <c r="B127" s="4" t="s">
        <v>484</v>
      </c>
      <c r="C127" s="4" t="s">
        <v>480</v>
      </c>
      <c r="D127" s="5" t="s">
        <v>23</v>
      </c>
      <c r="E127" s="4" t="s">
        <v>14</v>
      </c>
      <c r="F127" s="4" t="s">
        <v>52</v>
      </c>
      <c r="G127" s="4" t="s">
        <v>167</v>
      </c>
      <c r="H127" s="4" t="s">
        <v>485</v>
      </c>
      <c r="I127" s="4" t="s">
        <v>486</v>
      </c>
      <c r="J127" s="4" t="s">
        <v>443</v>
      </c>
    </row>
    <row r="128" spans="1:11" ht="22.5" customHeight="1">
      <c r="A128" s="3">
        <v>46051.623572187498</v>
      </c>
      <c r="B128" s="4" t="s">
        <v>487</v>
      </c>
      <c r="C128" s="4" t="s">
        <v>480</v>
      </c>
      <c r="D128" s="5" t="s">
        <v>23</v>
      </c>
      <c r="E128" s="4" t="s">
        <v>14</v>
      </c>
      <c r="F128" s="4" t="s">
        <v>52</v>
      </c>
      <c r="G128" s="4" t="s">
        <v>167</v>
      </c>
      <c r="H128" s="4" t="s">
        <v>183</v>
      </c>
      <c r="I128" s="4" t="s">
        <v>488</v>
      </c>
      <c r="J128" s="4" t="s">
        <v>176</v>
      </c>
    </row>
    <row r="129" spans="1:10" ht="22.5" customHeight="1">
      <c r="A129" s="3">
        <v>46051.624582337958</v>
      </c>
      <c r="B129" s="4" t="s">
        <v>489</v>
      </c>
      <c r="C129" s="4" t="s">
        <v>480</v>
      </c>
      <c r="D129" s="5" t="s">
        <v>23</v>
      </c>
      <c r="E129" s="4" t="s">
        <v>14</v>
      </c>
      <c r="F129" s="4" t="s">
        <v>52</v>
      </c>
      <c r="G129" s="4" t="s">
        <v>167</v>
      </c>
      <c r="H129" s="4" t="s">
        <v>183</v>
      </c>
      <c r="I129" s="4" t="s">
        <v>490</v>
      </c>
      <c r="J129" s="4" t="s">
        <v>176</v>
      </c>
    </row>
    <row r="130" spans="1:10" ht="22.5" customHeight="1">
      <c r="A130" s="3">
        <v>46055.358729826388</v>
      </c>
      <c r="B130" s="4" t="s">
        <v>491</v>
      </c>
      <c r="C130" s="4" t="s">
        <v>492</v>
      </c>
      <c r="D130" s="5" t="s">
        <v>199</v>
      </c>
      <c r="E130" s="4" t="s">
        <v>14</v>
      </c>
      <c r="F130" s="4" t="s">
        <v>15</v>
      </c>
      <c r="G130" s="4" t="s">
        <v>110</v>
      </c>
      <c r="H130" s="4" t="s">
        <v>122</v>
      </c>
      <c r="I130" s="4">
        <v>5170200021</v>
      </c>
      <c r="J130" s="4" t="s">
        <v>493</v>
      </c>
    </row>
    <row r="131" spans="1:10" ht="22.5" customHeight="1">
      <c r="A131" s="3">
        <v>46055.523383842592</v>
      </c>
      <c r="B131" s="4" t="s">
        <v>494</v>
      </c>
      <c r="C131" s="4" t="s">
        <v>495</v>
      </c>
      <c r="D131" s="4" t="s">
        <v>32</v>
      </c>
      <c r="E131" s="4" t="s">
        <v>14</v>
      </c>
      <c r="F131" s="4" t="s">
        <v>52</v>
      </c>
      <c r="G131" s="4" t="s">
        <v>167</v>
      </c>
      <c r="H131" s="4" t="s">
        <v>496</v>
      </c>
      <c r="I131" s="4" t="s">
        <v>497</v>
      </c>
      <c r="J131" s="4" t="s">
        <v>170</v>
      </c>
    </row>
    <row r="132" spans="1:10" ht="22.5" customHeight="1">
      <c r="A132" s="3">
        <v>46055.524129097219</v>
      </c>
      <c r="B132" s="4" t="s">
        <v>498</v>
      </c>
      <c r="C132" s="4" t="s">
        <v>495</v>
      </c>
      <c r="D132" s="4" t="s">
        <v>32</v>
      </c>
      <c r="E132" s="4" t="s">
        <v>14</v>
      </c>
      <c r="F132" s="4" t="s">
        <v>52</v>
      </c>
      <c r="G132" s="4" t="s">
        <v>167</v>
      </c>
      <c r="H132" s="4" t="s">
        <v>449</v>
      </c>
      <c r="I132" s="4" t="s">
        <v>499</v>
      </c>
      <c r="J132" s="4" t="s">
        <v>170</v>
      </c>
    </row>
    <row r="133" spans="1:10" ht="22.5" customHeight="1">
      <c r="A133" s="3">
        <v>46056.271900613428</v>
      </c>
      <c r="B133" s="4" t="s">
        <v>500</v>
      </c>
      <c r="C133" s="4" t="s">
        <v>501</v>
      </c>
      <c r="D133" s="4">
        <v>82143665635</v>
      </c>
      <c r="E133" s="4" t="s">
        <v>14</v>
      </c>
      <c r="F133" s="4" t="s">
        <v>52</v>
      </c>
      <c r="G133" s="4" t="s">
        <v>167</v>
      </c>
      <c r="H133" s="4" t="s">
        <v>183</v>
      </c>
      <c r="I133" s="4" t="s">
        <v>488</v>
      </c>
      <c r="J133" s="4" t="s">
        <v>502</v>
      </c>
    </row>
    <row r="134" spans="1:10" ht="22.5" customHeight="1">
      <c r="A134" s="3">
        <v>46056.273489340281</v>
      </c>
      <c r="B134" s="4" t="s">
        <v>503</v>
      </c>
      <c r="C134" s="4" t="s">
        <v>501</v>
      </c>
      <c r="D134" s="4">
        <v>82143665635</v>
      </c>
      <c r="E134" s="4" t="s">
        <v>14</v>
      </c>
      <c r="F134" s="4" t="s">
        <v>52</v>
      </c>
      <c r="G134" s="4" t="s">
        <v>179</v>
      </c>
      <c r="H134" s="4" t="s">
        <v>183</v>
      </c>
      <c r="I134" s="4" t="s">
        <v>490</v>
      </c>
      <c r="J134" s="4" t="s">
        <v>504</v>
      </c>
    </row>
    <row r="135" spans="1:10" ht="22.5" customHeight="1">
      <c r="A135" s="3">
        <v>46056.27686967593</v>
      </c>
      <c r="B135" s="4" t="s">
        <v>505</v>
      </c>
      <c r="C135" s="4" t="s">
        <v>506</v>
      </c>
      <c r="D135" s="4">
        <v>0</v>
      </c>
      <c r="E135" s="4" t="s">
        <v>14</v>
      </c>
      <c r="F135" s="4" t="s">
        <v>52</v>
      </c>
      <c r="G135" s="4" t="s">
        <v>507</v>
      </c>
      <c r="H135" s="4" t="s">
        <v>508</v>
      </c>
      <c r="I135" s="4" t="s">
        <v>509</v>
      </c>
      <c r="J135" s="4" t="s">
        <v>510</v>
      </c>
    </row>
    <row r="136" spans="1:10" ht="22.5" customHeight="1">
      <c r="A136" s="3">
        <v>46056.279321643524</v>
      </c>
      <c r="B136" s="4" t="s">
        <v>511</v>
      </c>
      <c r="C136" s="4" t="s">
        <v>506</v>
      </c>
      <c r="D136" s="4">
        <v>0</v>
      </c>
      <c r="E136" s="4" t="s">
        <v>14</v>
      </c>
      <c r="F136" s="4" t="s">
        <v>52</v>
      </c>
      <c r="G136" s="4" t="s">
        <v>507</v>
      </c>
      <c r="H136" s="4" t="s">
        <v>508</v>
      </c>
      <c r="I136" s="4" t="s">
        <v>512</v>
      </c>
      <c r="J136" s="4" t="s">
        <v>510</v>
      </c>
    </row>
    <row r="137" spans="1:10" ht="22.5" customHeight="1">
      <c r="A137" s="3">
        <v>46056.280906608794</v>
      </c>
      <c r="B137" s="4" t="s">
        <v>513</v>
      </c>
      <c r="C137" s="4" t="s">
        <v>506</v>
      </c>
      <c r="D137" s="4">
        <v>0</v>
      </c>
      <c r="E137" s="4" t="s">
        <v>14</v>
      </c>
      <c r="F137" s="4" t="s">
        <v>52</v>
      </c>
      <c r="G137" s="4" t="s">
        <v>308</v>
      </c>
      <c r="H137" s="4" t="s">
        <v>477</v>
      </c>
      <c r="I137" s="4" t="s">
        <v>514</v>
      </c>
      <c r="J137" s="4" t="s">
        <v>443</v>
      </c>
    </row>
    <row r="138" spans="1:10" ht="22.5" customHeight="1">
      <c r="A138" s="3">
        <v>46056.336747696754</v>
      </c>
      <c r="B138" s="4" t="s">
        <v>515</v>
      </c>
      <c r="C138" s="4" t="s">
        <v>516</v>
      </c>
      <c r="D138" s="4" t="s">
        <v>32</v>
      </c>
      <c r="E138" s="4" t="s">
        <v>14</v>
      </c>
      <c r="F138" s="4" t="s">
        <v>52</v>
      </c>
      <c r="G138" s="4" t="s">
        <v>462</v>
      </c>
      <c r="H138" s="4" t="s">
        <v>517</v>
      </c>
      <c r="I138" s="4" t="s">
        <v>518</v>
      </c>
      <c r="J138" s="4" t="s">
        <v>519</v>
      </c>
    </row>
    <row r="139" spans="1:10" ht="22.5" customHeight="1">
      <c r="A139" s="3">
        <v>46056.337477916662</v>
      </c>
      <c r="B139" s="4" t="s">
        <v>520</v>
      </c>
      <c r="C139" s="4" t="s">
        <v>516</v>
      </c>
      <c r="D139" s="4" t="s">
        <v>32</v>
      </c>
      <c r="E139" s="4" t="s">
        <v>14</v>
      </c>
      <c r="F139" s="4" t="s">
        <v>52</v>
      </c>
      <c r="G139" s="4" t="s">
        <v>462</v>
      </c>
      <c r="H139" s="4" t="s">
        <v>361</v>
      </c>
      <c r="I139" s="4" t="s">
        <v>521</v>
      </c>
      <c r="J139" s="4" t="s">
        <v>522</v>
      </c>
    </row>
    <row r="140" spans="1:10" ht="22.5" customHeight="1">
      <c r="A140" s="3">
        <v>46056.338252175927</v>
      </c>
      <c r="B140" s="4" t="s">
        <v>523</v>
      </c>
      <c r="C140" s="4" t="s">
        <v>516</v>
      </c>
      <c r="D140" s="4" t="s">
        <v>32</v>
      </c>
      <c r="E140" s="4" t="s">
        <v>14</v>
      </c>
      <c r="F140" s="4" t="s">
        <v>52</v>
      </c>
      <c r="G140" s="4" t="s">
        <v>524</v>
      </c>
      <c r="H140" s="4" t="s">
        <v>525</v>
      </c>
      <c r="I140" s="4" t="s">
        <v>526</v>
      </c>
      <c r="J140" s="4" t="s">
        <v>527</v>
      </c>
    </row>
    <row r="141" spans="1:10" ht="22.5" customHeight="1">
      <c r="A141" s="3">
        <v>46056.340322951393</v>
      </c>
      <c r="B141" s="4" t="s">
        <v>528</v>
      </c>
      <c r="C141" s="4" t="s">
        <v>516</v>
      </c>
      <c r="D141" s="4" t="s">
        <v>32</v>
      </c>
      <c r="E141" s="4" t="s">
        <v>14</v>
      </c>
      <c r="F141" s="4" t="s">
        <v>52</v>
      </c>
      <c r="G141" s="4" t="s">
        <v>179</v>
      </c>
      <c r="H141" s="4" t="s">
        <v>529</v>
      </c>
      <c r="I141" s="4" t="s">
        <v>530</v>
      </c>
      <c r="J141" s="4" t="s">
        <v>519</v>
      </c>
    </row>
    <row r="142" spans="1:10" ht="22.5" customHeight="1">
      <c r="A142" s="3">
        <v>46056.640924872685</v>
      </c>
      <c r="B142" s="4" t="s">
        <v>531</v>
      </c>
      <c r="C142" s="4" t="s">
        <v>532</v>
      </c>
      <c r="D142" s="5" t="s">
        <v>360</v>
      </c>
      <c r="E142" s="4" t="s">
        <v>14</v>
      </c>
      <c r="F142" s="4" t="s">
        <v>15</v>
      </c>
      <c r="G142" s="4" t="s">
        <v>43</v>
      </c>
      <c r="H142" s="4" t="s">
        <v>533</v>
      </c>
      <c r="I142" s="4" t="s">
        <v>534</v>
      </c>
      <c r="J142" s="4" t="s">
        <v>535</v>
      </c>
    </row>
    <row r="143" spans="1:10" ht="22.5" customHeight="1">
      <c r="A143" s="3">
        <v>46057.566331412032</v>
      </c>
      <c r="B143" s="4" t="s">
        <v>536</v>
      </c>
      <c r="C143" s="4" t="s">
        <v>537</v>
      </c>
      <c r="D143" s="4" t="s">
        <v>32</v>
      </c>
      <c r="E143" s="4" t="s">
        <v>14</v>
      </c>
      <c r="F143" s="4" t="s">
        <v>52</v>
      </c>
      <c r="G143" s="4" t="s">
        <v>167</v>
      </c>
      <c r="H143" s="4" t="s">
        <v>446</v>
      </c>
      <c r="I143" s="4" t="s">
        <v>538</v>
      </c>
      <c r="J143" s="4" t="s">
        <v>176</v>
      </c>
    </row>
    <row r="144" spans="1:10" ht="22.5" customHeight="1">
      <c r="A144" s="3">
        <v>46057.568206041666</v>
      </c>
      <c r="B144" s="4" t="s">
        <v>539</v>
      </c>
      <c r="C144" s="4" t="s">
        <v>537</v>
      </c>
      <c r="D144" s="4" t="s">
        <v>32</v>
      </c>
      <c r="E144" s="4" t="s">
        <v>14</v>
      </c>
      <c r="F144" s="4" t="s">
        <v>52</v>
      </c>
      <c r="G144" s="4" t="s">
        <v>167</v>
      </c>
      <c r="H144" s="4" t="s">
        <v>449</v>
      </c>
      <c r="I144" s="4" t="s">
        <v>540</v>
      </c>
      <c r="J144" s="4" t="s">
        <v>176</v>
      </c>
    </row>
    <row r="145" spans="1:10" ht="22.5" customHeight="1">
      <c r="A145" s="3">
        <v>46057.569991782409</v>
      </c>
      <c r="B145" s="4" t="s">
        <v>541</v>
      </c>
      <c r="C145" s="4" t="s">
        <v>537</v>
      </c>
      <c r="D145" s="4" t="s">
        <v>32</v>
      </c>
      <c r="E145" s="4" t="s">
        <v>14</v>
      </c>
      <c r="F145" s="4" t="s">
        <v>52</v>
      </c>
      <c r="G145" s="4" t="s">
        <v>167</v>
      </c>
      <c r="H145" s="4" t="s">
        <v>446</v>
      </c>
      <c r="I145" s="4" t="s">
        <v>542</v>
      </c>
      <c r="J145" s="4" t="s">
        <v>176</v>
      </c>
    </row>
    <row r="146" spans="1:10" ht="22.5" customHeight="1">
      <c r="A146" s="3">
        <v>46058.338511516209</v>
      </c>
      <c r="B146" s="4" t="s">
        <v>543</v>
      </c>
      <c r="C146" s="4" t="s">
        <v>544</v>
      </c>
      <c r="D146" s="4">
        <v>0</v>
      </c>
      <c r="E146" s="4" t="s">
        <v>14</v>
      </c>
      <c r="F146" s="4" t="s">
        <v>52</v>
      </c>
      <c r="G146" s="4" t="s">
        <v>179</v>
      </c>
      <c r="H146" s="4" t="s">
        <v>545</v>
      </c>
      <c r="I146" s="4" t="s">
        <v>546</v>
      </c>
      <c r="J146" s="4" t="s">
        <v>176</v>
      </c>
    </row>
    <row r="147" spans="1:10" ht="22.5" customHeight="1">
      <c r="A147" s="3">
        <v>46058.339552974532</v>
      </c>
      <c r="B147" s="4" t="s">
        <v>547</v>
      </c>
      <c r="C147" s="4" t="s">
        <v>544</v>
      </c>
      <c r="D147" s="4">
        <v>0</v>
      </c>
      <c r="E147" s="4" t="s">
        <v>14</v>
      </c>
      <c r="F147" s="4" t="s">
        <v>52</v>
      </c>
      <c r="G147" s="4" t="s">
        <v>167</v>
      </c>
      <c r="H147" s="4" t="s">
        <v>548</v>
      </c>
      <c r="I147" s="4" t="s">
        <v>549</v>
      </c>
      <c r="J147" s="4" t="s">
        <v>176</v>
      </c>
    </row>
    <row r="148" spans="1:10" ht="22.5" customHeight="1">
      <c r="A148" s="3">
        <v>46058.340534201387</v>
      </c>
      <c r="B148" s="4" t="s">
        <v>550</v>
      </c>
      <c r="C148" s="4" t="s">
        <v>544</v>
      </c>
      <c r="D148" s="4">
        <v>0</v>
      </c>
      <c r="E148" s="4" t="s">
        <v>14</v>
      </c>
      <c r="F148" s="4" t="s">
        <v>52</v>
      </c>
      <c r="G148" s="4" t="s">
        <v>179</v>
      </c>
      <c r="H148" s="4" t="s">
        <v>183</v>
      </c>
      <c r="I148" s="4" t="s">
        <v>551</v>
      </c>
      <c r="J148" s="4" t="s">
        <v>176</v>
      </c>
    </row>
    <row r="149" spans="1:10" ht="22.5" customHeight="1">
      <c r="A149" s="3">
        <v>46058.341531597223</v>
      </c>
      <c r="B149" s="4" t="s">
        <v>552</v>
      </c>
      <c r="C149" s="4" t="s">
        <v>544</v>
      </c>
      <c r="D149" s="4">
        <v>0</v>
      </c>
      <c r="E149" s="4" t="s">
        <v>14</v>
      </c>
      <c r="F149" s="4" t="s">
        <v>52</v>
      </c>
      <c r="G149" s="4" t="s">
        <v>396</v>
      </c>
      <c r="H149" s="4" t="s">
        <v>553</v>
      </c>
      <c r="I149" s="4" t="s">
        <v>554</v>
      </c>
      <c r="J149" s="4" t="s">
        <v>555</v>
      </c>
    </row>
    <row r="150" spans="1:10" ht="22.5" customHeight="1">
      <c r="A150" s="3">
        <v>46059.400470567125</v>
      </c>
      <c r="B150" s="4" t="s">
        <v>556</v>
      </c>
      <c r="C150" s="4" t="s">
        <v>557</v>
      </c>
      <c r="D150" s="5" t="s">
        <v>558</v>
      </c>
      <c r="E150" s="4" t="s">
        <v>14</v>
      </c>
      <c r="F150" s="4" t="s">
        <v>271</v>
      </c>
      <c r="G150" s="4" t="s">
        <v>559</v>
      </c>
      <c r="H150" s="4" t="s">
        <v>32</v>
      </c>
      <c r="I150" s="4">
        <v>22296</v>
      </c>
      <c r="J150" s="4" t="s">
        <v>273</v>
      </c>
    </row>
    <row r="151" spans="1:10" ht="22.5" customHeight="1">
      <c r="A151" s="3">
        <v>46060.159943819446</v>
      </c>
      <c r="B151" s="4" t="s">
        <v>560</v>
      </c>
      <c r="C151" s="4" t="s">
        <v>561</v>
      </c>
      <c r="D151" s="5" t="s">
        <v>23</v>
      </c>
      <c r="E151" s="4" t="s">
        <v>24</v>
      </c>
      <c r="F151" s="4" t="s">
        <v>52</v>
      </c>
      <c r="G151" s="4" t="s">
        <v>167</v>
      </c>
      <c r="H151" s="4" t="s">
        <v>361</v>
      </c>
      <c r="I151" s="4" t="s">
        <v>562</v>
      </c>
      <c r="J151" s="4" t="s">
        <v>170</v>
      </c>
    </row>
    <row r="152" spans="1:10" ht="22.5" customHeight="1">
      <c r="A152" s="3">
        <v>46062.410835752315</v>
      </c>
      <c r="B152" s="4" t="s">
        <v>563</v>
      </c>
      <c r="C152" s="4" t="s">
        <v>564</v>
      </c>
      <c r="D152" s="5" t="s">
        <v>565</v>
      </c>
      <c r="E152" s="4" t="s">
        <v>14</v>
      </c>
      <c r="F152" s="4" t="s">
        <v>70</v>
      </c>
      <c r="G152" s="4" t="s">
        <v>566</v>
      </c>
      <c r="H152" s="4" t="s">
        <v>32</v>
      </c>
      <c r="I152" s="4">
        <v>200301</v>
      </c>
      <c r="J152" s="4" t="s">
        <v>567</v>
      </c>
    </row>
    <row r="153" spans="1:10" ht="22.5" customHeight="1">
      <c r="A153" s="3">
        <v>46062.475147766207</v>
      </c>
      <c r="B153" s="4" t="s">
        <v>568</v>
      </c>
      <c r="C153" s="4" t="s">
        <v>569</v>
      </c>
      <c r="D153" s="5" t="s">
        <v>217</v>
      </c>
      <c r="E153" s="4" t="s">
        <v>14</v>
      </c>
      <c r="F153" s="4" t="s">
        <v>15</v>
      </c>
      <c r="G153" s="4" t="s">
        <v>230</v>
      </c>
      <c r="H153" s="4" t="s">
        <v>287</v>
      </c>
      <c r="I153" s="4" t="s">
        <v>570</v>
      </c>
      <c r="J153" s="4" t="s">
        <v>329</v>
      </c>
    </row>
    <row r="154" spans="1:10" ht="22.5" customHeight="1">
      <c r="A154" s="3">
        <v>46062.477218842592</v>
      </c>
      <c r="B154" s="4" t="s">
        <v>571</v>
      </c>
      <c r="C154" s="4" t="s">
        <v>569</v>
      </c>
      <c r="D154" s="5" t="s">
        <v>217</v>
      </c>
      <c r="E154" s="4" t="s">
        <v>14</v>
      </c>
      <c r="F154" s="4" t="s">
        <v>15</v>
      </c>
      <c r="G154" s="4" t="s">
        <v>230</v>
      </c>
      <c r="H154" s="4" t="s">
        <v>287</v>
      </c>
      <c r="I154" s="4" t="s">
        <v>572</v>
      </c>
      <c r="J154" s="4" t="s">
        <v>329</v>
      </c>
    </row>
    <row r="155" spans="1:10" ht="22.5" customHeight="1">
      <c r="A155" s="3">
        <v>46063.248398391202</v>
      </c>
      <c r="B155" s="4" t="s">
        <v>573</v>
      </c>
      <c r="C155" s="4" t="s">
        <v>574</v>
      </c>
      <c r="D155" s="5" t="s">
        <v>23</v>
      </c>
      <c r="E155" s="4" t="s">
        <v>14</v>
      </c>
      <c r="F155" s="4" t="s">
        <v>52</v>
      </c>
      <c r="G155" s="4" t="s">
        <v>167</v>
      </c>
      <c r="H155" s="4" t="s">
        <v>575</v>
      </c>
      <c r="I155" s="4" t="s">
        <v>576</v>
      </c>
      <c r="J155" s="4" t="s">
        <v>176</v>
      </c>
    </row>
    <row r="156" spans="1:10" ht="22.5" customHeight="1">
      <c r="A156" s="3">
        <v>46063.249980590277</v>
      </c>
      <c r="B156" s="4" t="s">
        <v>577</v>
      </c>
      <c r="C156" s="4" t="s">
        <v>578</v>
      </c>
      <c r="D156" s="5" t="s">
        <v>23</v>
      </c>
      <c r="E156" s="4" t="s">
        <v>14</v>
      </c>
      <c r="F156" s="4" t="s">
        <v>52</v>
      </c>
      <c r="G156" s="4" t="s">
        <v>167</v>
      </c>
      <c r="H156" s="4" t="s">
        <v>579</v>
      </c>
      <c r="I156" s="4" t="s">
        <v>580</v>
      </c>
      <c r="J156" s="4" t="s">
        <v>176</v>
      </c>
    </row>
    <row r="157" spans="1:10" ht="22.5" customHeight="1">
      <c r="A157" s="3">
        <v>46063.250675208328</v>
      </c>
      <c r="B157" s="4" t="s">
        <v>581</v>
      </c>
      <c r="C157" s="4" t="s">
        <v>578</v>
      </c>
      <c r="D157" s="5" t="s">
        <v>23</v>
      </c>
      <c r="E157" s="4" t="s">
        <v>14</v>
      </c>
      <c r="F157" s="4" t="s">
        <v>52</v>
      </c>
      <c r="G157" s="4" t="s">
        <v>167</v>
      </c>
      <c r="H157" s="4" t="s">
        <v>579</v>
      </c>
      <c r="I157" s="4" t="s">
        <v>582</v>
      </c>
      <c r="J157" s="4" t="s">
        <v>176</v>
      </c>
    </row>
    <row r="158" spans="1:10" ht="22.5" customHeight="1">
      <c r="A158" s="3">
        <v>46064.651488958334</v>
      </c>
      <c r="B158" s="4" t="s">
        <v>583</v>
      </c>
      <c r="C158" s="4" t="s">
        <v>584</v>
      </c>
      <c r="D158" s="5" t="s">
        <v>585</v>
      </c>
      <c r="E158" s="4" t="s">
        <v>14</v>
      </c>
      <c r="F158" s="4" t="s">
        <v>52</v>
      </c>
      <c r="G158" s="4" t="s">
        <v>179</v>
      </c>
      <c r="H158" s="4" t="s">
        <v>586</v>
      </c>
      <c r="I158" s="4" t="s">
        <v>587</v>
      </c>
      <c r="J158" s="4" t="s">
        <v>522</v>
      </c>
    </row>
    <row r="159" spans="1:10" ht="22.5" customHeight="1">
      <c r="A159" s="3">
        <v>46064.652096481484</v>
      </c>
      <c r="B159" s="4" t="s">
        <v>588</v>
      </c>
      <c r="C159" s="4" t="s">
        <v>584</v>
      </c>
      <c r="D159" s="4">
        <v>1</v>
      </c>
      <c r="E159" s="4" t="s">
        <v>14</v>
      </c>
      <c r="F159" s="4" t="s">
        <v>52</v>
      </c>
      <c r="G159" s="4" t="s">
        <v>179</v>
      </c>
      <c r="H159" s="4" t="s">
        <v>449</v>
      </c>
      <c r="I159" s="4" t="s">
        <v>589</v>
      </c>
      <c r="J159" s="4" t="s">
        <v>519</v>
      </c>
    </row>
    <row r="160" spans="1:10" ht="22.5" customHeight="1">
      <c r="A160" s="3">
        <v>46064.652843912037</v>
      </c>
      <c r="B160" s="4" t="s">
        <v>590</v>
      </c>
      <c r="C160" s="4" t="s">
        <v>584</v>
      </c>
      <c r="D160" s="4">
        <v>1</v>
      </c>
      <c r="E160" s="4" t="s">
        <v>14</v>
      </c>
      <c r="F160" s="4" t="s">
        <v>52</v>
      </c>
      <c r="G160" s="4" t="s">
        <v>179</v>
      </c>
      <c r="H160" s="4" t="s">
        <v>449</v>
      </c>
      <c r="I160" s="4" t="s">
        <v>591</v>
      </c>
      <c r="J160" s="4" t="s">
        <v>519</v>
      </c>
    </row>
    <row r="161" spans="1:11" ht="22.5" customHeight="1">
      <c r="A161" s="3">
        <v>46064.653506168979</v>
      </c>
      <c r="B161" s="4" t="s">
        <v>592</v>
      </c>
      <c r="C161" s="4" t="s">
        <v>584</v>
      </c>
      <c r="D161" s="4">
        <v>1</v>
      </c>
      <c r="E161" s="4" t="s">
        <v>14</v>
      </c>
      <c r="F161" s="4" t="s">
        <v>52</v>
      </c>
      <c r="G161" s="4" t="s">
        <v>179</v>
      </c>
      <c r="H161" s="4" t="s">
        <v>496</v>
      </c>
      <c r="I161" s="4" t="s">
        <v>593</v>
      </c>
      <c r="J161" s="4" t="s">
        <v>522</v>
      </c>
    </row>
    <row r="162" spans="1:11" ht="22.5" customHeight="1">
      <c r="A162" s="3">
        <v>46064.655754398147</v>
      </c>
      <c r="B162" s="4" t="s">
        <v>594</v>
      </c>
      <c r="C162" s="4" t="s">
        <v>584</v>
      </c>
      <c r="D162" s="4">
        <v>1</v>
      </c>
      <c r="E162" s="4" t="s">
        <v>14</v>
      </c>
      <c r="F162" s="4" t="s">
        <v>52</v>
      </c>
      <c r="G162" s="4" t="s">
        <v>179</v>
      </c>
      <c r="H162" s="4" t="s">
        <v>446</v>
      </c>
      <c r="I162" s="4" t="s">
        <v>595</v>
      </c>
      <c r="J162" s="4" t="s">
        <v>596</v>
      </c>
    </row>
    <row r="163" spans="1:11" ht="22.5" customHeight="1">
      <c r="A163" s="3">
        <v>46065.543973252315</v>
      </c>
      <c r="B163" s="4" t="s">
        <v>597</v>
      </c>
      <c r="C163" s="4" t="s">
        <v>598</v>
      </c>
      <c r="D163" s="4">
        <v>0</v>
      </c>
      <c r="E163" s="4" t="s">
        <v>14</v>
      </c>
      <c r="F163" s="4" t="s">
        <v>52</v>
      </c>
      <c r="G163" s="4" t="s">
        <v>179</v>
      </c>
      <c r="H163" s="4" t="s">
        <v>446</v>
      </c>
      <c r="I163" s="4" t="s">
        <v>599</v>
      </c>
      <c r="J163" s="4" t="s">
        <v>170</v>
      </c>
    </row>
    <row r="164" spans="1:11" ht="22.5" customHeight="1">
      <c r="A164" s="3">
        <v>46065.54528392361</v>
      </c>
      <c r="B164" s="4" t="s">
        <v>600</v>
      </c>
      <c r="C164" s="4" t="s">
        <v>598</v>
      </c>
      <c r="D164" s="4" t="s">
        <v>601</v>
      </c>
      <c r="E164" s="4" t="s">
        <v>14</v>
      </c>
      <c r="F164" s="4" t="s">
        <v>52</v>
      </c>
      <c r="G164" s="4" t="s">
        <v>179</v>
      </c>
      <c r="H164" s="4" t="s">
        <v>446</v>
      </c>
      <c r="I164" s="4" t="s">
        <v>602</v>
      </c>
      <c r="J164" s="4" t="s">
        <v>170</v>
      </c>
    </row>
    <row r="165" spans="1:11" ht="22.5" customHeight="1">
      <c r="A165" s="3">
        <v>46065.547236840277</v>
      </c>
      <c r="B165" s="4" t="s">
        <v>603</v>
      </c>
      <c r="C165" s="4" t="s">
        <v>598</v>
      </c>
      <c r="D165" s="4" t="s">
        <v>601</v>
      </c>
      <c r="E165" s="4" t="s">
        <v>14</v>
      </c>
      <c r="F165" s="4" t="s">
        <v>52</v>
      </c>
      <c r="G165" s="4" t="s">
        <v>179</v>
      </c>
      <c r="H165" s="4" t="s">
        <v>446</v>
      </c>
      <c r="I165" s="4" t="s">
        <v>604</v>
      </c>
      <c r="J165" s="4" t="s">
        <v>170</v>
      </c>
    </row>
    <row r="166" spans="1:11" ht="22.5" customHeight="1">
      <c r="A166" s="3">
        <v>46065.548252962966</v>
      </c>
      <c r="B166" s="4" t="s">
        <v>603</v>
      </c>
      <c r="C166" s="4" t="s">
        <v>598</v>
      </c>
      <c r="D166" s="4" t="s">
        <v>601</v>
      </c>
      <c r="E166" s="4" t="s">
        <v>14</v>
      </c>
      <c r="F166" s="4" t="s">
        <v>52</v>
      </c>
      <c r="G166" s="4" t="s">
        <v>179</v>
      </c>
      <c r="H166" s="4" t="s">
        <v>446</v>
      </c>
      <c r="I166" s="4" t="s">
        <v>605</v>
      </c>
      <c r="J166" s="4" t="s">
        <v>170</v>
      </c>
    </row>
    <row r="167" spans="1:11" ht="22.5" customHeight="1">
      <c r="A167" s="3">
        <v>46065.6399575463</v>
      </c>
      <c r="B167" s="4" t="s">
        <v>606</v>
      </c>
      <c r="C167" s="4" t="s">
        <v>607</v>
      </c>
      <c r="D167" s="5" t="s">
        <v>217</v>
      </c>
      <c r="E167" s="4" t="s">
        <v>14</v>
      </c>
      <c r="F167" s="4" t="s">
        <v>15</v>
      </c>
      <c r="G167" s="4" t="s">
        <v>230</v>
      </c>
      <c r="H167" s="4" t="s">
        <v>248</v>
      </c>
      <c r="I167" s="4" t="s">
        <v>608</v>
      </c>
      <c r="J167" s="4" t="s">
        <v>609</v>
      </c>
    </row>
    <row r="168" spans="1:11" ht="22.5" customHeight="1">
      <c r="A168" s="3">
        <v>46065.64197207176</v>
      </c>
      <c r="B168" s="4" t="s">
        <v>610</v>
      </c>
      <c r="C168" s="4" t="s">
        <v>607</v>
      </c>
      <c r="D168" s="4">
        <v>0</v>
      </c>
      <c r="E168" s="4" t="s">
        <v>14</v>
      </c>
      <c r="F168" s="4" t="s">
        <v>15</v>
      </c>
      <c r="G168" s="4" t="s">
        <v>230</v>
      </c>
      <c r="H168" s="4" t="s">
        <v>248</v>
      </c>
      <c r="I168" s="4" t="s">
        <v>611</v>
      </c>
      <c r="J168" s="4" t="s">
        <v>612</v>
      </c>
      <c r="K168" s="6" t="s">
        <v>613</v>
      </c>
    </row>
    <row r="169" spans="1:11" ht="22.5" customHeight="1">
      <c r="A169" s="3">
        <v>46066.469047569444</v>
      </c>
      <c r="B169" s="4" t="s">
        <v>614</v>
      </c>
      <c r="C169" s="4" t="s">
        <v>615</v>
      </c>
      <c r="D169" s="5" t="s">
        <v>616</v>
      </c>
      <c r="E169" s="4" t="s">
        <v>14</v>
      </c>
      <c r="F169" s="4" t="s">
        <v>271</v>
      </c>
      <c r="G169" s="4" t="s">
        <v>617</v>
      </c>
      <c r="H169" s="4" t="s">
        <v>32</v>
      </c>
      <c r="I169" s="4">
        <v>220157</v>
      </c>
      <c r="J169" s="4" t="s">
        <v>298</v>
      </c>
      <c r="K169" s="6" t="s">
        <v>618</v>
      </c>
    </row>
    <row r="170" spans="1:11" ht="22.5" customHeight="1">
      <c r="A170" s="3">
        <v>46066.471115057866</v>
      </c>
      <c r="B170" s="4" t="s">
        <v>619</v>
      </c>
      <c r="C170" s="4" t="s">
        <v>620</v>
      </c>
      <c r="D170" s="5" t="s">
        <v>616</v>
      </c>
      <c r="E170" s="4" t="s">
        <v>14</v>
      </c>
      <c r="F170" s="4" t="s">
        <v>271</v>
      </c>
      <c r="G170" s="4" t="s">
        <v>64</v>
      </c>
      <c r="H170" s="4" t="s">
        <v>32</v>
      </c>
      <c r="I170" s="4">
        <v>22180</v>
      </c>
      <c r="J170" s="4" t="s">
        <v>273</v>
      </c>
      <c r="K170" s="6" t="s">
        <v>621</v>
      </c>
    </row>
    <row r="171" spans="1:11" ht="22.5" customHeight="1">
      <c r="A171" s="3">
        <v>46071.3938184375</v>
      </c>
      <c r="B171" s="4" t="s">
        <v>622</v>
      </c>
      <c r="C171" s="4" t="s">
        <v>623</v>
      </c>
      <c r="D171" s="5" t="s">
        <v>565</v>
      </c>
      <c r="E171" s="4" t="s">
        <v>14</v>
      </c>
      <c r="F171" s="4" t="s">
        <v>70</v>
      </c>
      <c r="G171" s="4" t="s">
        <v>624</v>
      </c>
      <c r="H171" s="4" t="s">
        <v>32</v>
      </c>
      <c r="I171" s="4">
        <v>200293</v>
      </c>
      <c r="J171" s="4" t="s">
        <v>567</v>
      </c>
    </row>
    <row r="172" spans="1:11" ht="22.5" customHeight="1">
      <c r="A172" s="3">
        <v>46072.400034108796</v>
      </c>
      <c r="B172" s="4" t="s">
        <v>625</v>
      </c>
      <c r="C172" s="4" t="s">
        <v>626</v>
      </c>
      <c r="D172" s="5" t="s">
        <v>627</v>
      </c>
      <c r="E172" s="4" t="s">
        <v>14</v>
      </c>
      <c r="F172" s="4" t="s">
        <v>15</v>
      </c>
      <c r="G172" s="4" t="s">
        <v>218</v>
      </c>
      <c r="H172" s="4" t="s">
        <v>219</v>
      </c>
      <c r="I172" s="4" t="s">
        <v>628</v>
      </c>
      <c r="J172" s="4" t="s">
        <v>629</v>
      </c>
    </row>
    <row r="173" spans="1:11" ht="22.5" customHeight="1">
      <c r="A173" s="3">
        <v>46073.412633020838</v>
      </c>
      <c r="B173" s="4" t="s">
        <v>630</v>
      </c>
      <c r="C173" s="4" t="s">
        <v>631</v>
      </c>
      <c r="D173" s="5" t="s">
        <v>632</v>
      </c>
      <c r="E173" s="4" t="s">
        <v>14</v>
      </c>
      <c r="F173" s="4" t="s">
        <v>15</v>
      </c>
      <c r="G173" s="4" t="s">
        <v>633</v>
      </c>
      <c r="H173" s="4" t="s">
        <v>634</v>
      </c>
      <c r="I173" s="4">
        <v>3711800116040240</v>
      </c>
      <c r="J173" s="4" t="s">
        <v>635</v>
      </c>
      <c r="K173" s="6" t="s">
        <v>636</v>
      </c>
    </row>
    <row r="174" spans="1:11" ht="22.5" customHeight="1">
      <c r="A174" s="3">
        <v>46077.414193645833</v>
      </c>
      <c r="B174" s="4" t="s">
        <v>637</v>
      </c>
      <c r="C174" s="4" t="s">
        <v>638</v>
      </c>
      <c r="D174" s="4" t="s">
        <v>32</v>
      </c>
      <c r="E174" s="4" t="s">
        <v>14</v>
      </c>
      <c r="F174" s="4" t="s">
        <v>52</v>
      </c>
      <c r="G174" s="4" t="s">
        <v>440</v>
      </c>
      <c r="H174" s="4" t="s">
        <v>441</v>
      </c>
      <c r="I174" s="4" t="s">
        <v>639</v>
      </c>
      <c r="J174" s="4" t="s">
        <v>443</v>
      </c>
    </row>
    <row r="175" spans="1:11" ht="22.5" customHeight="1">
      <c r="A175" s="3">
        <v>46077.436490775464</v>
      </c>
      <c r="B175" s="4" t="s">
        <v>640</v>
      </c>
      <c r="C175" s="4" t="s">
        <v>641</v>
      </c>
      <c r="D175" s="4" t="s">
        <v>32</v>
      </c>
      <c r="E175" s="4" t="s">
        <v>14</v>
      </c>
      <c r="F175" s="4" t="s">
        <v>52</v>
      </c>
      <c r="G175" s="4" t="s">
        <v>642</v>
      </c>
      <c r="H175" s="4" t="s">
        <v>643</v>
      </c>
      <c r="I175" s="4">
        <v>1010210550</v>
      </c>
      <c r="J175" s="4" t="s">
        <v>443</v>
      </c>
    </row>
    <row r="176" spans="1:11" ht="22.5" customHeight="1">
      <c r="A176" s="3">
        <v>46077.457217569448</v>
      </c>
      <c r="B176" s="4" t="s">
        <v>644</v>
      </c>
      <c r="C176" s="4" t="s">
        <v>645</v>
      </c>
      <c r="D176" s="4" t="s">
        <v>32</v>
      </c>
      <c r="E176" s="4" t="s">
        <v>14</v>
      </c>
      <c r="F176" s="4" t="s">
        <v>52</v>
      </c>
      <c r="G176" s="4" t="s">
        <v>646</v>
      </c>
      <c r="H176" s="4" t="s">
        <v>643</v>
      </c>
      <c r="I176" s="4">
        <v>1010210080</v>
      </c>
      <c r="J176" s="4" t="s">
        <v>443</v>
      </c>
    </row>
    <row r="177" spans="1:10" ht="22.5" customHeight="1">
      <c r="A177" s="3">
        <v>46077.488046203704</v>
      </c>
      <c r="B177" s="4" t="s">
        <v>647</v>
      </c>
      <c r="C177" s="4" t="s">
        <v>648</v>
      </c>
      <c r="D177" s="4" t="s">
        <v>32</v>
      </c>
      <c r="E177" s="4" t="s">
        <v>14</v>
      </c>
      <c r="F177" s="4" t="s">
        <v>52</v>
      </c>
      <c r="G177" s="4" t="s">
        <v>646</v>
      </c>
      <c r="H177" s="4" t="s">
        <v>643</v>
      </c>
      <c r="I177" s="4">
        <v>1010210905</v>
      </c>
      <c r="J177" s="4" t="s">
        <v>443</v>
      </c>
    </row>
    <row r="178" spans="1:10" ht="22.5" customHeight="1">
      <c r="A178" s="3">
        <v>46079.600252372686</v>
      </c>
      <c r="B178" s="4" t="s">
        <v>649</v>
      </c>
      <c r="C178" s="4" t="s">
        <v>650</v>
      </c>
      <c r="D178" s="4">
        <v>0</v>
      </c>
      <c r="E178" s="4" t="s">
        <v>14</v>
      </c>
      <c r="F178" s="4" t="s">
        <v>52</v>
      </c>
      <c r="G178" s="4" t="s">
        <v>440</v>
      </c>
      <c r="H178" s="4" t="s">
        <v>651</v>
      </c>
      <c r="I178" s="4" t="s">
        <v>652</v>
      </c>
      <c r="J178" s="4" t="s">
        <v>443</v>
      </c>
    </row>
    <row r="179" spans="1:10" ht="22.5" customHeight="1">
      <c r="A179" s="3">
        <v>46079.601907847224</v>
      </c>
      <c r="B179" s="4" t="s">
        <v>653</v>
      </c>
      <c r="C179" s="4" t="s">
        <v>654</v>
      </c>
      <c r="D179" s="4">
        <v>0</v>
      </c>
      <c r="E179" s="4" t="s">
        <v>14</v>
      </c>
      <c r="F179" s="4" t="s">
        <v>52</v>
      </c>
      <c r="G179" s="4" t="s">
        <v>655</v>
      </c>
      <c r="H179" s="4" t="s">
        <v>656</v>
      </c>
      <c r="I179" s="4">
        <v>61021070091</v>
      </c>
      <c r="J179" s="4" t="s">
        <v>443</v>
      </c>
    </row>
    <row r="180" spans="1:10" ht="22.5" customHeight="1">
      <c r="A180" s="3">
        <v>46079.603573171291</v>
      </c>
      <c r="B180" s="4" t="s">
        <v>657</v>
      </c>
      <c r="C180" s="4" t="s">
        <v>658</v>
      </c>
      <c r="D180" s="4">
        <v>0</v>
      </c>
      <c r="E180" s="4" t="s">
        <v>14</v>
      </c>
      <c r="F180" s="4" t="s">
        <v>52</v>
      </c>
      <c r="G180" s="4" t="s">
        <v>440</v>
      </c>
      <c r="H180" s="4" t="s">
        <v>651</v>
      </c>
      <c r="I180" s="4" t="s">
        <v>659</v>
      </c>
      <c r="J180" s="4" t="s">
        <v>443</v>
      </c>
    </row>
    <row r="181" spans="1:10" ht="22.5" customHeight="1">
      <c r="A181" s="3">
        <v>46079.606361122685</v>
      </c>
      <c r="B181" s="4" t="s">
        <v>660</v>
      </c>
      <c r="C181" s="4" t="s">
        <v>661</v>
      </c>
      <c r="D181" s="4">
        <v>0</v>
      </c>
      <c r="E181" s="4" t="s">
        <v>14</v>
      </c>
      <c r="F181" s="4" t="s">
        <v>52</v>
      </c>
      <c r="G181" s="4" t="s">
        <v>79</v>
      </c>
      <c r="H181" s="4" t="s">
        <v>662</v>
      </c>
      <c r="I181" s="4" t="s">
        <v>663</v>
      </c>
      <c r="J181" s="4" t="s">
        <v>664</v>
      </c>
    </row>
    <row r="182" spans="1:10" ht="22.5" customHeight="1">
      <c r="A182" s="3">
        <v>46080.343026574075</v>
      </c>
      <c r="B182" s="4" t="s">
        <v>665</v>
      </c>
      <c r="C182" s="4" t="s">
        <v>666</v>
      </c>
      <c r="D182" s="4">
        <v>81805863292</v>
      </c>
      <c r="E182" s="4" t="s">
        <v>14</v>
      </c>
      <c r="F182" s="4" t="s">
        <v>15</v>
      </c>
      <c r="G182" s="4" t="s">
        <v>320</v>
      </c>
      <c r="H182" s="4" t="s">
        <v>667</v>
      </c>
      <c r="I182" s="4" t="s">
        <v>668</v>
      </c>
      <c r="J182" s="4" t="s">
        <v>669</v>
      </c>
    </row>
    <row r="183" spans="1:10" ht="22.5" customHeight="1">
      <c r="A183" s="3">
        <v>46080.343882650464</v>
      </c>
      <c r="B183" s="4" t="s">
        <v>670</v>
      </c>
      <c r="C183" s="4" t="s">
        <v>666</v>
      </c>
      <c r="D183" s="4">
        <v>81805863292</v>
      </c>
      <c r="E183" s="4" t="s">
        <v>14</v>
      </c>
      <c r="F183" s="4" t="s">
        <v>15</v>
      </c>
      <c r="G183" s="4" t="s">
        <v>320</v>
      </c>
      <c r="H183" s="4" t="s">
        <v>667</v>
      </c>
      <c r="I183" s="4" t="s">
        <v>671</v>
      </c>
      <c r="J183" s="4" t="s">
        <v>329</v>
      </c>
    </row>
    <row r="184" spans="1:10" ht="22.5" customHeight="1">
      <c r="A184" s="3">
        <v>46080.344586006948</v>
      </c>
      <c r="B184" s="4" t="s">
        <v>670</v>
      </c>
      <c r="C184" s="4" t="s">
        <v>666</v>
      </c>
      <c r="D184" s="4">
        <v>81805863292</v>
      </c>
      <c r="E184" s="4" t="s">
        <v>14</v>
      </c>
      <c r="F184" s="4" t="s">
        <v>15</v>
      </c>
      <c r="G184" s="4" t="s">
        <v>320</v>
      </c>
      <c r="H184" s="4" t="s">
        <v>667</v>
      </c>
      <c r="I184" s="4" t="s">
        <v>672</v>
      </c>
      <c r="J184" s="4" t="s">
        <v>329</v>
      </c>
    </row>
    <row r="185" spans="1:10" ht="22.5" customHeight="1">
      <c r="A185" s="3">
        <v>46080.344994363426</v>
      </c>
      <c r="B185" s="4" t="s">
        <v>673</v>
      </c>
      <c r="C185" s="4" t="s">
        <v>666</v>
      </c>
      <c r="D185" s="4">
        <v>81805863292</v>
      </c>
      <c r="E185" s="4" t="s">
        <v>14</v>
      </c>
      <c r="F185" s="4" t="s">
        <v>76</v>
      </c>
      <c r="G185" s="4" t="s">
        <v>674</v>
      </c>
      <c r="H185" s="4" t="s">
        <v>32</v>
      </c>
      <c r="I185" s="4" t="s">
        <v>32</v>
      </c>
      <c r="J185" s="4" t="s">
        <v>675</v>
      </c>
    </row>
    <row r="186" spans="1:10" ht="22.5" customHeight="1">
      <c r="A186" s="3">
        <v>46080.394863599533</v>
      </c>
      <c r="B186" s="4" t="s">
        <v>676</v>
      </c>
      <c r="C186" s="4" t="s">
        <v>677</v>
      </c>
      <c r="D186" s="5" t="s">
        <v>678</v>
      </c>
      <c r="E186" s="4" t="s">
        <v>14</v>
      </c>
      <c r="F186" s="4" t="s">
        <v>15</v>
      </c>
      <c r="G186" s="4" t="s">
        <v>679</v>
      </c>
      <c r="H186" s="4" t="s">
        <v>680</v>
      </c>
      <c r="I186" s="4" t="s">
        <v>681</v>
      </c>
      <c r="J186" s="4" t="s">
        <v>682</v>
      </c>
    </row>
    <row r="187" spans="1:10" ht="22.5" customHeight="1">
      <c r="A187" s="3">
        <v>46080.397006724539</v>
      </c>
      <c r="B187" s="4" t="s">
        <v>683</v>
      </c>
      <c r="C187" s="4" t="s">
        <v>677</v>
      </c>
      <c r="D187" s="5" t="s">
        <v>678</v>
      </c>
      <c r="E187" s="4" t="s">
        <v>14</v>
      </c>
      <c r="F187" s="4" t="s">
        <v>192</v>
      </c>
      <c r="G187" s="4" t="s">
        <v>684</v>
      </c>
      <c r="H187" s="4" t="s">
        <v>32</v>
      </c>
      <c r="I187" s="4" t="s">
        <v>685</v>
      </c>
      <c r="J187" s="4" t="s">
        <v>686</v>
      </c>
    </row>
    <row r="188" spans="1:10" ht="22.5" customHeight="1">
      <c r="A188" s="3">
        <v>46080.399892488422</v>
      </c>
      <c r="B188" s="4" t="s">
        <v>687</v>
      </c>
      <c r="C188" s="4" t="s">
        <v>688</v>
      </c>
      <c r="D188" s="5" t="s">
        <v>678</v>
      </c>
      <c r="E188" s="4" t="s">
        <v>14</v>
      </c>
      <c r="F188" s="4" t="s">
        <v>192</v>
      </c>
      <c r="G188" s="4" t="s">
        <v>684</v>
      </c>
      <c r="H188" s="4" t="s">
        <v>32</v>
      </c>
      <c r="I188" s="4" t="s">
        <v>689</v>
      </c>
      <c r="J188" s="4" t="s">
        <v>686</v>
      </c>
    </row>
    <row r="189" spans="1:10" ht="22.5" customHeight="1">
      <c r="A189" s="3">
        <v>46080.431059062495</v>
      </c>
      <c r="B189" s="7" t="s">
        <v>690</v>
      </c>
      <c r="C189" s="8" t="s">
        <v>666</v>
      </c>
      <c r="D189" s="9">
        <v>81805863292</v>
      </c>
      <c r="E189" s="4" t="s">
        <v>14</v>
      </c>
      <c r="F189" s="4" t="s">
        <v>76</v>
      </c>
      <c r="G189" s="4" t="s">
        <v>32</v>
      </c>
      <c r="H189" s="4" t="s">
        <v>32</v>
      </c>
      <c r="I189" s="4" t="s">
        <v>32</v>
      </c>
      <c r="J189" s="4" t="s">
        <v>225</v>
      </c>
    </row>
    <row r="190" spans="1:10" ht="22.5" customHeight="1">
      <c r="A190" s="3">
        <v>46080.431551886577</v>
      </c>
      <c r="B190" s="7" t="s">
        <v>691</v>
      </c>
      <c r="C190" s="8" t="s">
        <v>666</v>
      </c>
      <c r="D190" s="9">
        <v>81805863292</v>
      </c>
      <c r="E190" s="4" t="s">
        <v>14</v>
      </c>
      <c r="F190" s="4" t="s">
        <v>76</v>
      </c>
      <c r="G190" s="4" t="s">
        <v>32</v>
      </c>
      <c r="H190" s="4" t="s">
        <v>32</v>
      </c>
      <c r="I190" s="4" t="s">
        <v>692</v>
      </c>
      <c r="J190" s="4" t="s">
        <v>225</v>
      </c>
    </row>
    <row r="191" spans="1:10" ht="22.5" customHeight="1">
      <c r="A191" s="3">
        <v>46080.43277806713</v>
      </c>
      <c r="B191" s="7" t="s">
        <v>693</v>
      </c>
      <c r="C191" s="8" t="s">
        <v>666</v>
      </c>
      <c r="D191" s="9">
        <v>81805863292</v>
      </c>
      <c r="E191" s="4" t="s">
        <v>14</v>
      </c>
      <c r="F191" s="4" t="s">
        <v>76</v>
      </c>
      <c r="G191" s="4" t="s">
        <v>32</v>
      </c>
      <c r="H191" s="4" t="s">
        <v>32</v>
      </c>
      <c r="I191" s="4">
        <v>2201</v>
      </c>
      <c r="J191" s="4" t="s">
        <v>225</v>
      </c>
    </row>
    <row r="192" spans="1:10" ht="22.5" customHeight="1">
      <c r="A192" s="3">
        <v>46080.433179872685</v>
      </c>
      <c r="B192" s="7" t="s">
        <v>694</v>
      </c>
      <c r="C192" s="8" t="s">
        <v>666</v>
      </c>
      <c r="D192" s="9">
        <v>81805863292</v>
      </c>
      <c r="E192" s="4" t="s">
        <v>14</v>
      </c>
      <c r="F192" s="4" t="s">
        <v>76</v>
      </c>
      <c r="G192" s="4" t="s">
        <v>32</v>
      </c>
      <c r="H192" s="4" t="s">
        <v>32</v>
      </c>
      <c r="I192" s="4">
        <v>2204</v>
      </c>
      <c r="J192" s="4" t="s">
        <v>695</v>
      </c>
    </row>
    <row r="193" spans="1:11" ht="22.5" customHeight="1">
      <c r="A193" s="3">
        <v>46080.442120671301</v>
      </c>
      <c r="B193" s="4" t="s">
        <v>696</v>
      </c>
      <c r="C193" s="4" t="s">
        <v>697</v>
      </c>
      <c r="D193" s="5" t="s">
        <v>698</v>
      </c>
      <c r="E193" s="4" t="s">
        <v>14</v>
      </c>
      <c r="F193" s="4" t="s">
        <v>192</v>
      </c>
      <c r="G193" s="4" t="s">
        <v>699</v>
      </c>
      <c r="H193" s="4" t="s">
        <v>700</v>
      </c>
      <c r="I193" s="4" t="s">
        <v>32</v>
      </c>
      <c r="J193" s="4" t="s">
        <v>701</v>
      </c>
      <c r="K193" s="6" t="s">
        <v>702</v>
      </c>
    </row>
    <row r="194" spans="1:11" ht="22.5" customHeight="1">
      <c r="A194" s="3">
        <v>46080.444801944446</v>
      </c>
      <c r="B194" s="4" t="s">
        <v>703</v>
      </c>
      <c r="C194" s="4" t="s">
        <v>697</v>
      </c>
      <c r="D194" s="5" t="s">
        <v>698</v>
      </c>
      <c r="E194" s="4" t="s">
        <v>14</v>
      </c>
      <c r="F194" s="4" t="s">
        <v>15</v>
      </c>
      <c r="G194" s="4" t="s">
        <v>704</v>
      </c>
      <c r="H194" s="4" t="s">
        <v>705</v>
      </c>
      <c r="I194" s="4" t="s">
        <v>32</v>
      </c>
      <c r="J194" s="4" t="s">
        <v>75</v>
      </c>
      <c r="K194" s="6" t="s">
        <v>706</v>
      </c>
    </row>
    <row r="195" spans="1:11" ht="22.5" customHeight="1">
      <c r="A195" s="3">
        <v>46083.275347476854</v>
      </c>
      <c r="B195" s="4" t="s">
        <v>707</v>
      </c>
      <c r="C195" s="4" t="s">
        <v>708</v>
      </c>
      <c r="D195" s="4">
        <v>81805863292</v>
      </c>
      <c r="E195" s="4" t="s">
        <v>14</v>
      </c>
      <c r="F195" s="4" t="s">
        <v>52</v>
      </c>
      <c r="G195" s="4" t="s">
        <v>440</v>
      </c>
      <c r="H195" s="4" t="s">
        <v>709</v>
      </c>
      <c r="I195" s="4" t="s">
        <v>710</v>
      </c>
      <c r="J195" s="4" t="s">
        <v>443</v>
      </c>
    </row>
    <row r="196" spans="1:11" ht="22.5" customHeight="1">
      <c r="A196" s="3">
        <v>46083.276842175925</v>
      </c>
      <c r="B196" s="4" t="s">
        <v>711</v>
      </c>
      <c r="C196" s="4" t="s">
        <v>712</v>
      </c>
      <c r="D196" s="4">
        <v>81805863292</v>
      </c>
      <c r="E196" s="4" t="s">
        <v>14</v>
      </c>
      <c r="F196" s="4" t="s">
        <v>52</v>
      </c>
      <c r="G196" s="4" t="s">
        <v>440</v>
      </c>
      <c r="H196" s="4" t="s">
        <v>651</v>
      </c>
      <c r="I196" s="4" t="s">
        <v>32</v>
      </c>
      <c r="J196" s="4" t="s">
        <v>443</v>
      </c>
    </row>
    <row r="197" spans="1:11" ht="22.5" customHeight="1">
      <c r="A197" s="3">
        <v>46083.278522650464</v>
      </c>
      <c r="B197" s="4" t="s">
        <v>713</v>
      </c>
      <c r="C197" s="4" t="s">
        <v>714</v>
      </c>
      <c r="D197" s="4">
        <v>81805863292</v>
      </c>
      <c r="E197" s="4" t="s">
        <v>14</v>
      </c>
      <c r="F197" s="4" t="s">
        <v>52</v>
      </c>
      <c r="G197" s="4" t="s">
        <v>715</v>
      </c>
      <c r="H197" s="4" t="s">
        <v>716</v>
      </c>
      <c r="I197" s="4">
        <v>1010210441</v>
      </c>
      <c r="J197" s="4" t="s">
        <v>443</v>
      </c>
    </row>
    <row r="198" spans="1:11" ht="22.5" customHeight="1">
      <c r="A198" s="3">
        <v>46083.280457534725</v>
      </c>
      <c r="B198" s="4" t="s">
        <v>717</v>
      </c>
      <c r="C198" s="4" t="s">
        <v>718</v>
      </c>
      <c r="D198" s="4">
        <v>81805863292</v>
      </c>
      <c r="E198" s="4" t="s">
        <v>14</v>
      </c>
      <c r="F198" s="4" t="s">
        <v>52</v>
      </c>
      <c r="G198" s="4" t="s">
        <v>440</v>
      </c>
      <c r="H198" s="4" t="s">
        <v>651</v>
      </c>
      <c r="I198" s="4" t="s">
        <v>719</v>
      </c>
      <c r="J198" s="4" t="s">
        <v>443</v>
      </c>
    </row>
    <row r="199" spans="1:11" ht="22.5" customHeight="1">
      <c r="A199" s="3">
        <v>46083.417318599539</v>
      </c>
      <c r="B199" s="4" t="s">
        <v>720</v>
      </c>
      <c r="C199" s="4" t="s">
        <v>721</v>
      </c>
      <c r="D199" s="5" t="s">
        <v>722</v>
      </c>
      <c r="E199" s="4" t="s">
        <v>14</v>
      </c>
      <c r="F199" s="4" t="s">
        <v>271</v>
      </c>
      <c r="G199" s="4" t="s">
        <v>723</v>
      </c>
      <c r="H199" s="4" t="s">
        <v>32</v>
      </c>
      <c r="I199" s="4">
        <v>11225</v>
      </c>
      <c r="J199" s="4" t="s">
        <v>298</v>
      </c>
      <c r="K199" s="6" t="s">
        <v>724</v>
      </c>
    </row>
    <row r="200" spans="1:11" ht="22.5" customHeight="1">
      <c r="A200" s="3">
        <v>46083.431992314814</v>
      </c>
      <c r="B200" s="4" t="s">
        <v>725</v>
      </c>
      <c r="C200" s="4" t="s">
        <v>688</v>
      </c>
      <c r="D200" s="5" t="s">
        <v>678</v>
      </c>
      <c r="E200" s="4" t="s">
        <v>14</v>
      </c>
      <c r="F200" s="4" t="s">
        <v>15</v>
      </c>
      <c r="G200" s="4" t="s">
        <v>679</v>
      </c>
      <c r="H200" s="4" t="s">
        <v>680</v>
      </c>
      <c r="I200" s="4" t="s">
        <v>726</v>
      </c>
      <c r="J200" s="4" t="s">
        <v>727</v>
      </c>
    </row>
    <row r="201" spans="1:11" ht="22.5" customHeight="1">
      <c r="A201" s="3">
        <v>46083.433340474541</v>
      </c>
      <c r="B201" s="4" t="s">
        <v>728</v>
      </c>
      <c r="C201" s="4" t="s">
        <v>688</v>
      </c>
      <c r="D201" s="5" t="s">
        <v>678</v>
      </c>
      <c r="E201" s="4" t="s">
        <v>14</v>
      </c>
      <c r="F201" s="4" t="s">
        <v>15</v>
      </c>
      <c r="G201" s="4" t="s">
        <v>679</v>
      </c>
      <c r="H201" s="4" t="s">
        <v>680</v>
      </c>
      <c r="I201" s="4" t="s">
        <v>729</v>
      </c>
      <c r="J201" s="4" t="s">
        <v>727</v>
      </c>
    </row>
    <row r="202" spans="1:11" ht="22.5" customHeight="1">
      <c r="A202" s="3">
        <v>46086.344274212963</v>
      </c>
      <c r="B202" s="4" t="s">
        <v>730</v>
      </c>
      <c r="C202" s="4" t="s">
        <v>731</v>
      </c>
      <c r="D202" s="4">
        <v>0</v>
      </c>
      <c r="E202" s="4" t="s">
        <v>14</v>
      </c>
      <c r="F202" s="4" t="s">
        <v>52</v>
      </c>
      <c r="G202" s="4" t="s">
        <v>440</v>
      </c>
      <c r="H202" s="4" t="s">
        <v>441</v>
      </c>
      <c r="I202" s="4" t="s">
        <v>732</v>
      </c>
      <c r="J202" s="4" t="s">
        <v>443</v>
      </c>
    </row>
    <row r="203" spans="1:11" ht="22.5" customHeight="1">
      <c r="A203" s="3">
        <v>46086.34587503472</v>
      </c>
      <c r="B203" s="4" t="s">
        <v>733</v>
      </c>
      <c r="C203" s="4" t="s">
        <v>734</v>
      </c>
      <c r="D203" s="4">
        <v>0</v>
      </c>
      <c r="E203" s="4" t="s">
        <v>14</v>
      </c>
      <c r="F203" s="4" t="s">
        <v>52</v>
      </c>
      <c r="G203" s="4" t="s">
        <v>440</v>
      </c>
      <c r="H203" s="4" t="s">
        <v>651</v>
      </c>
      <c r="I203" s="4" t="s">
        <v>735</v>
      </c>
      <c r="J203" s="4" t="s">
        <v>443</v>
      </c>
    </row>
    <row r="204" spans="1:11" ht="22.5" customHeight="1">
      <c r="A204" s="3">
        <v>46086.348084282406</v>
      </c>
      <c r="B204" s="4" t="s">
        <v>736</v>
      </c>
      <c r="C204" s="4" t="s">
        <v>737</v>
      </c>
      <c r="D204" s="4">
        <v>0</v>
      </c>
      <c r="E204" s="4" t="s">
        <v>14</v>
      </c>
      <c r="F204" s="4" t="s">
        <v>52</v>
      </c>
      <c r="G204" s="4" t="s">
        <v>440</v>
      </c>
      <c r="H204" s="4" t="s">
        <v>651</v>
      </c>
      <c r="I204" s="4" t="s">
        <v>738</v>
      </c>
      <c r="J204" s="4" t="s">
        <v>443</v>
      </c>
    </row>
    <row r="205" spans="1:11" ht="22.5" customHeight="1">
      <c r="A205" s="3">
        <v>46086.350017094912</v>
      </c>
      <c r="B205" s="4" t="s">
        <v>739</v>
      </c>
      <c r="C205" s="4" t="s">
        <v>740</v>
      </c>
      <c r="D205" s="4">
        <v>0</v>
      </c>
      <c r="E205" s="4" t="s">
        <v>14</v>
      </c>
      <c r="F205" s="4" t="s">
        <v>52</v>
      </c>
      <c r="G205" s="4" t="s">
        <v>715</v>
      </c>
      <c r="H205" s="4" t="s">
        <v>741</v>
      </c>
      <c r="I205" s="4">
        <v>1010200618</v>
      </c>
      <c r="J205" s="4" t="s">
        <v>443</v>
      </c>
    </row>
    <row r="206" spans="1:11" ht="22.5" customHeight="1">
      <c r="A206" s="3">
        <v>46086.518146018519</v>
      </c>
      <c r="B206" s="4" t="s">
        <v>742</v>
      </c>
      <c r="C206" s="4" t="s">
        <v>743</v>
      </c>
      <c r="D206" s="4" t="s">
        <v>32</v>
      </c>
      <c r="E206" s="4" t="s">
        <v>14</v>
      </c>
      <c r="F206" s="4" t="s">
        <v>52</v>
      </c>
      <c r="G206" s="4" t="s">
        <v>283</v>
      </c>
      <c r="H206" s="4" t="s">
        <v>744</v>
      </c>
      <c r="I206" s="4" t="s">
        <v>745</v>
      </c>
      <c r="J206" s="4" t="s">
        <v>746</v>
      </c>
    </row>
    <row r="207" spans="1:11" ht="22.5" customHeight="1">
      <c r="A207" s="3">
        <v>46086.519199363422</v>
      </c>
      <c r="B207" s="4" t="s">
        <v>747</v>
      </c>
      <c r="C207" s="4" t="s">
        <v>748</v>
      </c>
      <c r="D207" s="4" t="s">
        <v>32</v>
      </c>
      <c r="E207" s="4" t="s">
        <v>14</v>
      </c>
      <c r="F207" s="4" t="s">
        <v>52</v>
      </c>
      <c r="G207" s="4" t="s">
        <v>646</v>
      </c>
      <c r="H207" s="4" t="s">
        <v>749</v>
      </c>
      <c r="I207" s="4">
        <v>1010200047</v>
      </c>
      <c r="J207" s="4" t="s">
        <v>750</v>
      </c>
    </row>
    <row r="208" spans="1:11" ht="22.5" customHeight="1">
      <c r="A208" s="3">
        <v>46086.520401585643</v>
      </c>
      <c r="B208" s="4" t="s">
        <v>751</v>
      </c>
      <c r="C208" s="4" t="s">
        <v>752</v>
      </c>
      <c r="D208" s="4" t="s">
        <v>32</v>
      </c>
      <c r="E208" s="4" t="s">
        <v>14</v>
      </c>
      <c r="F208" s="4" t="s">
        <v>52</v>
      </c>
      <c r="G208" s="4" t="s">
        <v>283</v>
      </c>
      <c r="H208" s="4" t="s">
        <v>744</v>
      </c>
      <c r="I208" s="4" t="s">
        <v>753</v>
      </c>
      <c r="J208" s="4" t="s">
        <v>746</v>
      </c>
    </row>
    <row r="209" spans="1:11" ht="22.5" customHeight="1">
      <c r="A209" s="3">
        <v>46086.521321388893</v>
      </c>
      <c r="B209" s="4" t="s">
        <v>754</v>
      </c>
      <c r="C209" s="4" t="s">
        <v>755</v>
      </c>
      <c r="D209" s="4" t="s">
        <v>32</v>
      </c>
      <c r="E209" s="4" t="s">
        <v>14</v>
      </c>
      <c r="F209" s="4" t="s">
        <v>52</v>
      </c>
      <c r="G209" s="4" t="s">
        <v>756</v>
      </c>
      <c r="H209" s="4" t="s">
        <v>741</v>
      </c>
      <c r="I209" s="4">
        <v>1010210661</v>
      </c>
      <c r="J209" s="4" t="s">
        <v>757</v>
      </c>
    </row>
    <row r="210" spans="1:11" ht="22.5" customHeight="1">
      <c r="A210" s="3">
        <v>46087.34611486111</v>
      </c>
      <c r="B210" s="4" t="s">
        <v>758</v>
      </c>
      <c r="C210" s="4" t="s">
        <v>759</v>
      </c>
      <c r="D210" s="5" t="s">
        <v>760</v>
      </c>
      <c r="E210" s="4" t="s">
        <v>14</v>
      </c>
      <c r="F210" s="4" t="s">
        <v>15</v>
      </c>
      <c r="G210" s="4" t="s">
        <v>761</v>
      </c>
      <c r="H210" s="4" t="s">
        <v>762</v>
      </c>
      <c r="I210" s="4">
        <v>1347650325</v>
      </c>
      <c r="J210" s="4" t="s">
        <v>763</v>
      </c>
      <c r="K210" s="6" t="s">
        <v>764</v>
      </c>
    </row>
    <row r="211" spans="1:11" ht="22.5" customHeight="1">
      <c r="A211" s="3">
        <v>46090.379930497686</v>
      </c>
      <c r="B211" s="4" t="s">
        <v>765</v>
      </c>
      <c r="C211" s="4" t="s">
        <v>766</v>
      </c>
      <c r="D211" s="4" t="s">
        <v>32</v>
      </c>
      <c r="E211" s="4" t="s">
        <v>14</v>
      </c>
      <c r="F211" s="4" t="s">
        <v>52</v>
      </c>
      <c r="G211" s="4" t="s">
        <v>767</v>
      </c>
      <c r="H211" s="4" t="s">
        <v>768</v>
      </c>
      <c r="I211" s="4" t="s">
        <v>769</v>
      </c>
      <c r="J211" s="4" t="s">
        <v>510</v>
      </c>
    </row>
    <row r="212" spans="1:11" ht="22.5" customHeight="1">
      <c r="A212" s="3">
        <v>46090.430100300931</v>
      </c>
      <c r="B212" s="4" t="s">
        <v>770</v>
      </c>
      <c r="C212" s="4" t="s">
        <v>771</v>
      </c>
      <c r="D212" s="4" t="s">
        <v>32</v>
      </c>
      <c r="E212" s="4" t="s">
        <v>14</v>
      </c>
      <c r="F212" s="4" t="s">
        <v>52</v>
      </c>
      <c r="G212" s="4" t="s">
        <v>772</v>
      </c>
      <c r="H212" s="4" t="s">
        <v>773</v>
      </c>
      <c r="I212" s="4">
        <v>1010200093</v>
      </c>
      <c r="J212" s="4" t="s">
        <v>443</v>
      </c>
    </row>
    <row r="213" spans="1:11" ht="22.5" customHeight="1">
      <c r="A213" s="3">
        <v>46090.45721202546</v>
      </c>
      <c r="B213" s="4" t="s">
        <v>774</v>
      </c>
      <c r="C213" s="4" t="s">
        <v>775</v>
      </c>
      <c r="D213" s="4" t="s">
        <v>32</v>
      </c>
      <c r="E213" s="4" t="s">
        <v>14</v>
      </c>
      <c r="F213" s="4" t="s">
        <v>52</v>
      </c>
      <c r="G213" s="4" t="s">
        <v>440</v>
      </c>
      <c r="H213" s="4" t="s">
        <v>776</v>
      </c>
      <c r="I213" s="4" t="s">
        <v>777</v>
      </c>
      <c r="J213" s="4" t="s">
        <v>443</v>
      </c>
    </row>
    <row r="214" spans="1:11" ht="22.5" customHeight="1">
      <c r="A214" s="3">
        <v>46090.483364398147</v>
      </c>
      <c r="B214" s="4" t="s">
        <v>778</v>
      </c>
      <c r="C214" s="4" t="s">
        <v>779</v>
      </c>
      <c r="D214" s="4" t="s">
        <v>32</v>
      </c>
      <c r="E214" s="4" t="s">
        <v>14</v>
      </c>
      <c r="F214" s="4" t="s">
        <v>52</v>
      </c>
      <c r="G214" s="4" t="s">
        <v>655</v>
      </c>
      <c r="H214" s="4" t="s">
        <v>656</v>
      </c>
      <c r="I214" s="4">
        <v>61021070013</v>
      </c>
      <c r="J214" s="4" t="s">
        <v>443</v>
      </c>
    </row>
    <row r="215" spans="1:11" ht="22.5" customHeight="1">
      <c r="A215" s="3">
        <v>46091.446183541666</v>
      </c>
      <c r="B215" s="4" t="s">
        <v>780</v>
      </c>
      <c r="C215" s="10" t="s">
        <v>544</v>
      </c>
      <c r="D215" s="4" t="s">
        <v>32</v>
      </c>
      <c r="E215" s="4" t="s">
        <v>14</v>
      </c>
      <c r="F215" s="4" t="s">
        <v>52</v>
      </c>
      <c r="G215" s="4" t="s">
        <v>179</v>
      </c>
      <c r="H215" s="4" t="s">
        <v>548</v>
      </c>
      <c r="I215" s="4" t="s">
        <v>549</v>
      </c>
      <c r="J215" s="4" t="s">
        <v>781</v>
      </c>
    </row>
    <row r="216" spans="1:11" ht="22.5" customHeight="1">
      <c r="A216" s="3">
        <v>46092.528608425928</v>
      </c>
      <c r="B216" s="4" t="s">
        <v>782</v>
      </c>
      <c r="C216" s="4" t="s">
        <v>783</v>
      </c>
      <c r="D216" s="5" t="s">
        <v>23</v>
      </c>
      <c r="E216" s="4" t="s">
        <v>14</v>
      </c>
      <c r="F216" s="4" t="s">
        <v>52</v>
      </c>
      <c r="G216" s="4" t="s">
        <v>440</v>
      </c>
      <c r="H216" s="4" t="s">
        <v>776</v>
      </c>
      <c r="I216" s="4" t="s">
        <v>784</v>
      </c>
      <c r="J216" s="4" t="s">
        <v>750</v>
      </c>
    </row>
    <row r="217" spans="1:11" ht="22.5" customHeight="1">
      <c r="A217" s="3">
        <v>46092.542514305555</v>
      </c>
      <c r="B217" s="4" t="s">
        <v>785</v>
      </c>
      <c r="C217" s="4" t="s">
        <v>786</v>
      </c>
      <c r="D217" s="5" t="s">
        <v>23</v>
      </c>
      <c r="E217" s="4" t="s">
        <v>14</v>
      </c>
      <c r="F217" s="4" t="s">
        <v>52</v>
      </c>
      <c r="G217" s="4" t="s">
        <v>787</v>
      </c>
      <c r="H217" s="4" t="s">
        <v>788</v>
      </c>
      <c r="I217" s="4">
        <v>202108005</v>
      </c>
      <c r="J217" s="4" t="s">
        <v>750</v>
      </c>
    </row>
    <row r="218" spans="1:11" ht="22.5" customHeight="1">
      <c r="A218" s="3">
        <v>46092.550936238425</v>
      </c>
      <c r="B218" s="4" t="s">
        <v>789</v>
      </c>
      <c r="C218" s="4" t="s">
        <v>790</v>
      </c>
      <c r="D218" s="5" t="s">
        <v>23</v>
      </c>
      <c r="E218" s="4" t="s">
        <v>14</v>
      </c>
      <c r="F218" s="4" t="s">
        <v>52</v>
      </c>
      <c r="G218" s="4" t="s">
        <v>440</v>
      </c>
      <c r="H218" s="4" t="s">
        <v>776</v>
      </c>
      <c r="I218" s="4" t="s">
        <v>791</v>
      </c>
      <c r="J218" s="4" t="s">
        <v>750</v>
      </c>
    </row>
    <row r="219" spans="1:11" ht="22.5" customHeight="1">
      <c r="A219" s="3">
        <v>46092.557109733796</v>
      </c>
      <c r="B219" s="4" t="s">
        <v>792</v>
      </c>
      <c r="C219" s="4" t="s">
        <v>793</v>
      </c>
      <c r="D219" s="5" t="s">
        <v>23</v>
      </c>
      <c r="E219" s="4" t="s">
        <v>14</v>
      </c>
      <c r="F219" s="4" t="s">
        <v>52</v>
      </c>
      <c r="G219" s="4" t="s">
        <v>440</v>
      </c>
      <c r="H219" s="4" t="s">
        <v>776</v>
      </c>
      <c r="I219" s="4" t="s">
        <v>794</v>
      </c>
      <c r="J219" s="4" t="s">
        <v>750</v>
      </c>
    </row>
    <row r="220" spans="1:11" ht="22.5" customHeight="1">
      <c r="A220" s="3">
        <v>46093.402718668978</v>
      </c>
      <c r="B220" s="4" t="s">
        <v>795</v>
      </c>
      <c r="C220" s="4" t="s">
        <v>796</v>
      </c>
      <c r="D220" s="4" t="s">
        <v>32</v>
      </c>
      <c r="E220" s="4" t="s">
        <v>14</v>
      </c>
      <c r="F220" s="4" t="s">
        <v>52</v>
      </c>
      <c r="G220" s="4" t="s">
        <v>797</v>
      </c>
      <c r="H220" s="4" t="s">
        <v>776</v>
      </c>
      <c r="I220" s="4" t="s">
        <v>798</v>
      </c>
      <c r="J220" s="4" t="s">
        <v>750</v>
      </c>
    </row>
    <row r="221" spans="1:11" ht="22.5" customHeight="1">
      <c r="A221" s="3">
        <v>46093.45110460648</v>
      </c>
      <c r="B221" s="4" t="s">
        <v>799</v>
      </c>
      <c r="C221" s="4" t="s">
        <v>800</v>
      </c>
      <c r="D221" s="4" t="s">
        <v>32</v>
      </c>
      <c r="E221" s="4" t="s">
        <v>14</v>
      </c>
      <c r="F221" s="4" t="s">
        <v>52</v>
      </c>
      <c r="G221" s="4" t="s">
        <v>440</v>
      </c>
      <c r="H221" s="4" t="s">
        <v>776</v>
      </c>
      <c r="I221" s="4" t="s">
        <v>801</v>
      </c>
      <c r="J221" s="4" t="s">
        <v>750</v>
      </c>
    </row>
    <row r="222" spans="1:11" ht="22.5" customHeight="1">
      <c r="A222" s="3">
        <v>46093.452003275466</v>
      </c>
      <c r="B222" s="4" t="s">
        <v>802</v>
      </c>
      <c r="C222" s="4" t="s">
        <v>803</v>
      </c>
      <c r="D222" s="4" t="s">
        <v>32</v>
      </c>
      <c r="E222" s="4" t="s">
        <v>14</v>
      </c>
      <c r="F222" s="4" t="s">
        <v>52</v>
      </c>
      <c r="G222" s="4" t="s">
        <v>804</v>
      </c>
      <c r="H222" s="4" t="s">
        <v>805</v>
      </c>
      <c r="I222" s="4" t="s">
        <v>806</v>
      </c>
      <c r="J222" s="4" t="s">
        <v>750</v>
      </c>
    </row>
    <row r="223" spans="1:11" ht="22.5" customHeight="1">
      <c r="A223" s="3">
        <v>46097.266291805558</v>
      </c>
      <c r="B223" s="4" t="s">
        <v>807</v>
      </c>
      <c r="C223" s="4" t="s">
        <v>808</v>
      </c>
      <c r="D223" s="5" t="s">
        <v>23</v>
      </c>
      <c r="E223" s="4" t="s">
        <v>14</v>
      </c>
      <c r="F223" s="4" t="s">
        <v>52</v>
      </c>
      <c r="G223" s="4" t="s">
        <v>715</v>
      </c>
      <c r="H223" s="4" t="s">
        <v>643</v>
      </c>
      <c r="I223" s="4">
        <v>1010210438</v>
      </c>
      <c r="J223" s="4" t="s">
        <v>750</v>
      </c>
    </row>
    <row r="224" spans="1:11" ht="22.5" customHeight="1">
      <c r="A224" s="3">
        <v>46097.26735076389</v>
      </c>
      <c r="B224" s="4" t="s">
        <v>809</v>
      </c>
      <c r="C224" s="4" t="s">
        <v>810</v>
      </c>
      <c r="D224" s="5" t="s">
        <v>23</v>
      </c>
      <c r="E224" s="4" t="s">
        <v>14</v>
      </c>
      <c r="F224" s="4" t="s">
        <v>52</v>
      </c>
      <c r="G224" s="4" t="s">
        <v>715</v>
      </c>
      <c r="H224" s="4" t="s">
        <v>773</v>
      </c>
      <c r="I224" s="4">
        <v>1010210846</v>
      </c>
      <c r="J224" s="4" t="s">
        <v>750</v>
      </c>
    </row>
    <row r="225" spans="1:11" ht="22.5" customHeight="1">
      <c r="A225" s="3">
        <v>46097.268534155097</v>
      </c>
      <c r="B225" s="4" t="s">
        <v>811</v>
      </c>
      <c r="C225" s="4" t="s">
        <v>812</v>
      </c>
      <c r="D225" s="5" t="s">
        <v>23</v>
      </c>
      <c r="E225" s="4" t="s">
        <v>14</v>
      </c>
      <c r="F225" s="4" t="s">
        <v>52</v>
      </c>
      <c r="G225" s="4" t="s">
        <v>507</v>
      </c>
      <c r="H225" s="4" t="s">
        <v>744</v>
      </c>
      <c r="I225" s="4" t="s">
        <v>813</v>
      </c>
      <c r="J225" s="4" t="s">
        <v>814</v>
      </c>
    </row>
    <row r="226" spans="1:11" ht="22.5" customHeight="1">
      <c r="A226" s="3">
        <v>46097.356571458338</v>
      </c>
      <c r="B226" s="4" t="s">
        <v>815</v>
      </c>
      <c r="C226" s="4" t="s">
        <v>816</v>
      </c>
      <c r="D226" s="5" t="s">
        <v>817</v>
      </c>
      <c r="E226" s="4" t="s">
        <v>14</v>
      </c>
      <c r="F226" s="4" t="s">
        <v>271</v>
      </c>
      <c r="G226" s="4" t="s">
        <v>818</v>
      </c>
      <c r="H226" s="4" t="s">
        <v>32</v>
      </c>
      <c r="I226" s="5" t="s">
        <v>819</v>
      </c>
      <c r="J226" s="4" t="s">
        <v>298</v>
      </c>
    </row>
    <row r="227" spans="1:11" ht="22.5" customHeight="1">
      <c r="A227" s="3">
        <v>46098.480188726855</v>
      </c>
      <c r="B227" s="4" t="s">
        <v>820</v>
      </c>
      <c r="C227" s="4" t="s">
        <v>821</v>
      </c>
      <c r="D227" s="5" t="s">
        <v>822</v>
      </c>
      <c r="E227" s="4" t="s">
        <v>14</v>
      </c>
      <c r="F227" s="4" t="s">
        <v>192</v>
      </c>
      <c r="G227" s="4" t="s">
        <v>699</v>
      </c>
      <c r="H227" s="4" t="s">
        <v>700</v>
      </c>
      <c r="I227" s="4" t="s">
        <v>32</v>
      </c>
      <c r="J227" s="4" t="s">
        <v>701</v>
      </c>
      <c r="K227" s="6" t="s">
        <v>823</v>
      </c>
    </row>
    <row r="228" spans="1:11" ht="22.5" customHeight="1">
      <c r="A228" s="3">
        <v>46098.503066909718</v>
      </c>
      <c r="B228" s="4" t="s">
        <v>824</v>
      </c>
      <c r="C228" s="4" t="s">
        <v>825</v>
      </c>
      <c r="D228" s="4" t="s">
        <v>32</v>
      </c>
      <c r="E228" s="4" t="s">
        <v>14</v>
      </c>
      <c r="F228" s="4" t="s">
        <v>52</v>
      </c>
      <c r="G228" s="4" t="s">
        <v>826</v>
      </c>
      <c r="H228" s="4" t="s">
        <v>741</v>
      </c>
      <c r="I228" s="4">
        <v>1010200594</v>
      </c>
      <c r="J228" s="4" t="s">
        <v>757</v>
      </c>
    </row>
    <row r="229" spans="1:11" ht="22.5" customHeight="1">
      <c r="A229" s="3">
        <v>46098.504108726847</v>
      </c>
      <c r="B229" s="4" t="s">
        <v>827</v>
      </c>
      <c r="C229" s="4" t="s">
        <v>828</v>
      </c>
      <c r="D229" s="4" t="s">
        <v>32</v>
      </c>
      <c r="E229" s="4" t="s">
        <v>14</v>
      </c>
      <c r="F229" s="4" t="s">
        <v>52</v>
      </c>
      <c r="G229" s="4" t="s">
        <v>826</v>
      </c>
      <c r="H229" s="4" t="s">
        <v>741</v>
      </c>
      <c r="I229" s="4">
        <v>1010210038</v>
      </c>
      <c r="J229" s="4" t="s">
        <v>750</v>
      </c>
    </row>
    <row r="230" spans="1:11" ht="22.5" customHeight="1">
      <c r="A230" s="3">
        <v>46098.505611180561</v>
      </c>
      <c r="B230" s="4" t="s">
        <v>829</v>
      </c>
      <c r="C230" s="4" t="s">
        <v>578</v>
      </c>
      <c r="D230" s="4" t="s">
        <v>32</v>
      </c>
      <c r="E230" s="4" t="s">
        <v>14</v>
      </c>
      <c r="F230" s="4" t="s">
        <v>52</v>
      </c>
      <c r="G230" s="4" t="s">
        <v>830</v>
      </c>
      <c r="H230" s="4" t="s">
        <v>831</v>
      </c>
      <c r="I230" s="4">
        <v>4857</v>
      </c>
      <c r="J230" s="4" t="s">
        <v>746</v>
      </c>
    </row>
    <row r="231" spans="1:11" ht="22.5" customHeight="1">
      <c r="A231" s="3">
        <v>46107.444074375002</v>
      </c>
      <c r="B231" s="4" t="s">
        <v>832</v>
      </c>
      <c r="C231" s="4" t="s">
        <v>833</v>
      </c>
      <c r="D231" s="5" t="s">
        <v>834</v>
      </c>
      <c r="E231" s="4" t="s">
        <v>14</v>
      </c>
      <c r="F231" s="4" t="s">
        <v>15</v>
      </c>
      <c r="G231" s="4" t="s">
        <v>835</v>
      </c>
      <c r="H231" s="4" t="s">
        <v>836</v>
      </c>
      <c r="I231" s="4" t="s">
        <v>837</v>
      </c>
      <c r="J231" s="4" t="s">
        <v>19</v>
      </c>
      <c r="K231" s="6" t="s">
        <v>838</v>
      </c>
    </row>
    <row r="232" spans="1:11" ht="22.5" customHeight="1">
      <c r="A232" s="3">
        <v>46108.416820115744</v>
      </c>
      <c r="B232" s="4" t="s">
        <v>839</v>
      </c>
      <c r="C232" s="4" t="s">
        <v>840</v>
      </c>
      <c r="D232" s="5" t="s">
        <v>841</v>
      </c>
      <c r="E232" s="4" t="s">
        <v>14</v>
      </c>
      <c r="F232" s="4" t="s">
        <v>192</v>
      </c>
      <c r="G232" s="4" t="s">
        <v>842</v>
      </c>
      <c r="H232" s="4" t="s">
        <v>843</v>
      </c>
      <c r="I232" s="4" t="s">
        <v>32</v>
      </c>
      <c r="J232" s="4" t="s">
        <v>844</v>
      </c>
    </row>
    <row r="233" spans="1:11" ht="22.5" customHeight="1">
      <c r="A233" s="3">
        <v>46111.544471412039</v>
      </c>
      <c r="B233" s="4" t="s">
        <v>845</v>
      </c>
      <c r="C233" s="4" t="s">
        <v>846</v>
      </c>
      <c r="D233" s="4">
        <v>0</v>
      </c>
      <c r="E233" s="4" t="s">
        <v>14</v>
      </c>
      <c r="F233" s="4" t="s">
        <v>52</v>
      </c>
      <c r="G233" s="4" t="s">
        <v>440</v>
      </c>
      <c r="H233" s="4" t="s">
        <v>847</v>
      </c>
      <c r="I233" s="4" t="s">
        <v>848</v>
      </c>
      <c r="J233" s="4" t="s">
        <v>443</v>
      </c>
    </row>
    <row r="234" spans="1:11" ht="22.5" customHeight="1">
      <c r="A234" s="3">
        <v>46111.545837997684</v>
      </c>
      <c r="B234" s="4" t="s">
        <v>849</v>
      </c>
      <c r="C234" s="4" t="s">
        <v>850</v>
      </c>
      <c r="D234" s="4">
        <v>0</v>
      </c>
      <c r="E234" s="4" t="s">
        <v>14</v>
      </c>
      <c r="F234" s="4" t="s">
        <v>52</v>
      </c>
      <c r="G234" s="4" t="s">
        <v>440</v>
      </c>
      <c r="H234" s="4" t="s">
        <v>441</v>
      </c>
      <c r="I234" s="4" t="s">
        <v>851</v>
      </c>
      <c r="J234" s="4" t="s">
        <v>443</v>
      </c>
    </row>
    <row r="235" spans="1:11" ht="22.5" customHeight="1">
      <c r="A235" s="3">
        <v>46111.596034375005</v>
      </c>
      <c r="B235" s="4" t="s">
        <v>852</v>
      </c>
      <c r="C235" s="4" t="s">
        <v>853</v>
      </c>
      <c r="D235" s="4">
        <v>0</v>
      </c>
      <c r="E235" s="4" t="s">
        <v>14</v>
      </c>
      <c r="F235" s="4" t="s">
        <v>52</v>
      </c>
      <c r="G235" s="4" t="s">
        <v>854</v>
      </c>
      <c r="H235" s="4" t="s">
        <v>776</v>
      </c>
      <c r="I235" s="4" t="s">
        <v>855</v>
      </c>
      <c r="J235" s="4" t="s">
        <v>443</v>
      </c>
    </row>
    <row r="236" spans="1:11" ht="22.5" customHeight="1">
      <c r="A236" s="3">
        <v>46112.399138877314</v>
      </c>
      <c r="B236" s="4" t="s">
        <v>856</v>
      </c>
      <c r="C236" s="4" t="s">
        <v>857</v>
      </c>
      <c r="D236" s="4" t="s">
        <v>32</v>
      </c>
      <c r="E236" s="4" t="s">
        <v>14</v>
      </c>
      <c r="F236" s="4" t="s">
        <v>52</v>
      </c>
      <c r="G236" s="4" t="s">
        <v>283</v>
      </c>
      <c r="H236" s="4" t="s">
        <v>744</v>
      </c>
      <c r="I236" s="4" t="s">
        <v>858</v>
      </c>
      <c r="J236" s="4" t="s">
        <v>746</v>
      </c>
    </row>
    <row r="237" spans="1:11" ht="22.5" customHeight="1">
      <c r="A237" s="3">
        <v>46112.555632233794</v>
      </c>
      <c r="B237" s="4" t="s">
        <v>859</v>
      </c>
      <c r="C237" s="4" t="s">
        <v>860</v>
      </c>
      <c r="D237" s="4" t="s">
        <v>32</v>
      </c>
      <c r="E237" s="4" t="s">
        <v>14</v>
      </c>
      <c r="F237" s="4" t="s">
        <v>52</v>
      </c>
      <c r="G237" s="4" t="s">
        <v>646</v>
      </c>
      <c r="H237" s="4" t="s">
        <v>741</v>
      </c>
      <c r="I237" s="4">
        <v>1010210260</v>
      </c>
      <c r="J237" s="4" t="s">
        <v>757</v>
      </c>
    </row>
    <row r="238" spans="1:11" ht="22.5" customHeight="1">
      <c r="A238" s="3">
        <v>46112.556921122683</v>
      </c>
      <c r="B238" s="4" t="s">
        <v>861</v>
      </c>
      <c r="C238" s="4" t="s">
        <v>862</v>
      </c>
      <c r="D238" s="4" t="s">
        <v>32</v>
      </c>
      <c r="E238" s="4" t="s">
        <v>14</v>
      </c>
      <c r="F238" s="4" t="s">
        <v>52</v>
      </c>
      <c r="G238" s="4" t="s">
        <v>646</v>
      </c>
      <c r="H238" s="4" t="s">
        <v>741</v>
      </c>
      <c r="I238" s="4">
        <v>1010200168</v>
      </c>
      <c r="J238" s="4" t="s">
        <v>757</v>
      </c>
    </row>
    <row r="239" spans="1:11" ht="22.5" customHeight="1">
      <c r="A239" s="3">
        <v>46112.558380983799</v>
      </c>
      <c r="B239" s="4" t="s">
        <v>863</v>
      </c>
      <c r="C239" s="4" t="s">
        <v>864</v>
      </c>
      <c r="D239" s="4" t="s">
        <v>32</v>
      </c>
      <c r="E239" s="4" t="s">
        <v>14</v>
      </c>
      <c r="F239" s="4" t="s">
        <v>52</v>
      </c>
      <c r="G239" s="4" t="s">
        <v>179</v>
      </c>
      <c r="H239" s="4" t="s">
        <v>485</v>
      </c>
      <c r="I239" s="4" t="s">
        <v>486</v>
      </c>
      <c r="J239" s="4" t="s">
        <v>865</v>
      </c>
    </row>
    <row r="240" spans="1:11" ht="22.5" customHeight="1">
      <c r="A240" s="3">
        <v>46114.404976041667</v>
      </c>
      <c r="B240" s="4" t="s">
        <v>866</v>
      </c>
      <c r="C240" s="4" t="s">
        <v>867</v>
      </c>
      <c r="D240" s="5" t="s">
        <v>868</v>
      </c>
      <c r="E240" s="4" t="s">
        <v>14</v>
      </c>
      <c r="F240" s="4" t="s">
        <v>15</v>
      </c>
      <c r="G240" s="4" t="s">
        <v>869</v>
      </c>
      <c r="H240" s="4" t="s">
        <v>870</v>
      </c>
      <c r="I240" s="4">
        <v>1103090092</v>
      </c>
      <c r="J240" s="4" t="s">
        <v>682</v>
      </c>
    </row>
    <row r="241" spans="1:10" ht="22.5" customHeight="1">
      <c r="A241" s="3">
        <v>46119.494242002314</v>
      </c>
      <c r="B241" s="4" t="s">
        <v>871</v>
      </c>
      <c r="C241" s="4" t="s">
        <v>872</v>
      </c>
      <c r="D241" s="5" t="s">
        <v>873</v>
      </c>
      <c r="E241" s="4" t="s">
        <v>14</v>
      </c>
      <c r="F241" s="4" t="s">
        <v>271</v>
      </c>
      <c r="G241" s="4" t="s">
        <v>874</v>
      </c>
      <c r="H241" s="4" t="s">
        <v>32</v>
      </c>
      <c r="I241" s="4">
        <v>10301</v>
      </c>
      <c r="J241" s="4" t="s">
        <v>273</v>
      </c>
    </row>
    <row r="242" spans="1:10" ht="22.5" customHeight="1">
      <c r="A242" s="3">
        <v>46121.55276712963</v>
      </c>
      <c r="B242" s="4" t="s">
        <v>875</v>
      </c>
      <c r="C242" s="4" t="s">
        <v>876</v>
      </c>
      <c r="D242" s="4" t="s">
        <v>877</v>
      </c>
      <c r="E242" s="4" t="s">
        <v>14</v>
      </c>
      <c r="F242" s="4" t="s">
        <v>15</v>
      </c>
      <c r="G242" s="4" t="s">
        <v>878</v>
      </c>
      <c r="H242" s="4" t="s">
        <v>879</v>
      </c>
      <c r="I242" s="4">
        <v>281181</v>
      </c>
      <c r="J242" s="4" t="s">
        <v>880</v>
      </c>
    </row>
    <row r="243" spans="1:10" ht="22.5" customHeight="1">
      <c r="A243" s="3">
        <v>46121.553638182872</v>
      </c>
      <c r="B243" s="4" t="s">
        <v>881</v>
      </c>
      <c r="C243" s="4" t="s">
        <v>876</v>
      </c>
      <c r="D243" s="4" t="s">
        <v>877</v>
      </c>
      <c r="E243" s="4" t="s">
        <v>14</v>
      </c>
      <c r="F243" s="4" t="s">
        <v>15</v>
      </c>
      <c r="G243" s="4" t="s">
        <v>878</v>
      </c>
      <c r="H243" s="4" t="s">
        <v>882</v>
      </c>
      <c r="I243" s="4" t="s">
        <v>883</v>
      </c>
      <c r="J243" s="4" t="s">
        <v>880</v>
      </c>
    </row>
    <row r="244" spans="1:10" ht="22.5" customHeight="1">
      <c r="A244" s="3">
        <v>46121.554581631943</v>
      </c>
      <c r="B244" s="4" t="s">
        <v>884</v>
      </c>
      <c r="C244" s="4" t="s">
        <v>876</v>
      </c>
      <c r="D244" s="4" t="s">
        <v>877</v>
      </c>
      <c r="E244" s="4" t="s">
        <v>14</v>
      </c>
      <c r="F244" s="4" t="s">
        <v>15</v>
      </c>
      <c r="G244" s="4" t="s">
        <v>885</v>
      </c>
      <c r="H244" s="4" t="s">
        <v>886</v>
      </c>
      <c r="I244" s="4">
        <v>2211</v>
      </c>
      <c r="J244" s="4" t="s">
        <v>887</v>
      </c>
    </row>
    <row r="245" spans="1:10" ht="22.5" customHeight="1">
      <c r="A245" s="3">
        <v>46121.555572094905</v>
      </c>
      <c r="B245" s="4" t="s">
        <v>888</v>
      </c>
      <c r="C245" s="4" t="s">
        <v>876</v>
      </c>
      <c r="D245" s="4" t="s">
        <v>877</v>
      </c>
      <c r="E245" s="4" t="s">
        <v>14</v>
      </c>
      <c r="F245" s="4" t="s">
        <v>15</v>
      </c>
      <c r="G245" s="4" t="s">
        <v>889</v>
      </c>
      <c r="H245" s="4" t="s">
        <v>890</v>
      </c>
      <c r="I245" s="4" t="s">
        <v>891</v>
      </c>
      <c r="J245" s="4" t="s">
        <v>892</v>
      </c>
    </row>
    <row r="246" spans="1:10" ht="22.5" customHeight="1">
      <c r="A246" s="3">
        <v>46121.556567280088</v>
      </c>
      <c r="B246" s="4" t="s">
        <v>893</v>
      </c>
      <c r="C246" s="4" t="s">
        <v>876</v>
      </c>
      <c r="D246" s="4" t="s">
        <v>877</v>
      </c>
      <c r="E246" s="4" t="s">
        <v>14</v>
      </c>
      <c r="F246" s="4" t="s">
        <v>15</v>
      </c>
      <c r="G246" s="4" t="s">
        <v>889</v>
      </c>
      <c r="H246" s="4" t="s">
        <v>894</v>
      </c>
      <c r="I246" s="4" t="s">
        <v>895</v>
      </c>
      <c r="J246" s="4" t="s">
        <v>892</v>
      </c>
    </row>
    <row r="247" spans="1:10" ht="22.5" customHeight="1">
      <c r="A247" s="3">
        <v>46121.557278090273</v>
      </c>
      <c r="B247" s="4" t="s">
        <v>896</v>
      </c>
      <c r="C247" s="4" t="s">
        <v>876</v>
      </c>
      <c r="D247" s="4" t="s">
        <v>877</v>
      </c>
      <c r="E247" s="4" t="s">
        <v>14</v>
      </c>
      <c r="F247" s="4" t="s">
        <v>15</v>
      </c>
      <c r="G247" s="4" t="s">
        <v>889</v>
      </c>
      <c r="H247" s="4" t="s">
        <v>894</v>
      </c>
      <c r="I247" s="4">
        <v>91090442</v>
      </c>
      <c r="J247" s="4" t="s">
        <v>892</v>
      </c>
    </row>
    <row r="248" spans="1:10" ht="22.5" customHeight="1">
      <c r="A248" s="3">
        <v>46121.557806354162</v>
      </c>
      <c r="B248" s="4" t="s">
        <v>897</v>
      </c>
      <c r="C248" s="4" t="s">
        <v>876</v>
      </c>
      <c r="D248" s="4" t="s">
        <v>877</v>
      </c>
      <c r="E248" s="4" t="s">
        <v>14</v>
      </c>
      <c r="F248" s="4" t="s">
        <v>15</v>
      </c>
      <c r="G248" s="4" t="s">
        <v>889</v>
      </c>
      <c r="H248" s="4" t="s">
        <v>890</v>
      </c>
      <c r="I248" s="4">
        <v>91090441</v>
      </c>
      <c r="J248" s="4" t="s">
        <v>892</v>
      </c>
    </row>
    <row r="249" spans="1:10" ht="22.5" customHeight="1">
      <c r="A249" s="3">
        <v>46121.558489143514</v>
      </c>
      <c r="B249" s="4" t="s">
        <v>898</v>
      </c>
      <c r="C249" s="4" t="s">
        <v>876</v>
      </c>
      <c r="D249" s="4" t="s">
        <v>877</v>
      </c>
      <c r="E249" s="4" t="s">
        <v>14</v>
      </c>
      <c r="F249" s="4" t="s">
        <v>15</v>
      </c>
      <c r="G249" s="4" t="s">
        <v>889</v>
      </c>
      <c r="H249" s="4" t="s">
        <v>890</v>
      </c>
      <c r="I249" s="4" t="s">
        <v>899</v>
      </c>
      <c r="J249" s="4" t="s">
        <v>900</v>
      </c>
    </row>
    <row r="250" spans="1:10" ht="22.5" customHeight="1">
      <c r="A250" s="3">
        <v>46121.559242997682</v>
      </c>
      <c r="B250" s="4" t="s">
        <v>901</v>
      </c>
      <c r="C250" s="4" t="s">
        <v>876</v>
      </c>
      <c r="D250" s="4" t="s">
        <v>877</v>
      </c>
      <c r="E250" s="4" t="s">
        <v>14</v>
      </c>
      <c r="F250" s="4" t="s">
        <v>15</v>
      </c>
      <c r="G250" s="4" t="s">
        <v>889</v>
      </c>
      <c r="H250" s="4" t="s">
        <v>890</v>
      </c>
      <c r="I250" s="4">
        <v>91090443</v>
      </c>
      <c r="J250" s="4" t="s">
        <v>892</v>
      </c>
    </row>
    <row r="251" spans="1:10" ht="22.5" customHeight="1">
      <c r="A251" s="3">
        <v>46121.560065682876</v>
      </c>
      <c r="B251" s="4" t="s">
        <v>902</v>
      </c>
      <c r="C251" s="4" t="s">
        <v>876</v>
      </c>
      <c r="D251" s="4" t="s">
        <v>877</v>
      </c>
      <c r="E251" s="4" t="s">
        <v>14</v>
      </c>
      <c r="F251" s="4" t="s">
        <v>15</v>
      </c>
      <c r="G251" s="4" t="s">
        <v>889</v>
      </c>
      <c r="H251" s="4" t="s">
        <v>890</v>
      </c>
      <c r="I251" s="4" t="s">
        <v>903</v>
      </c>
      <c r="J251" s="4" t="s">
        <v>892</v>
      </c>
    </row>
    <row r="252" spans="1:10" ht="22.5" customHeight="1">
      <c r="A252" s="3">
        <v>46121.560756030092</v>
      </c>
      <c r="B252" s="4" t="s">
        <v>904</v>
      </c>
      <c r="C252" s="4" t="s">
        <v>876</v>
      </c>
      <c r="D252" s="4" t="s">
        <v>877</v>
      </c>
      <c r="E252" s="4" t="s">
        <v>14</v>
      </c>
      <c r="F252" s="4" t="s">
        <v>15</v>
      </c>
      <c r="G252" s="4" t="s">
        <v>889</v>
      </c>
      <c r="H252" s="4" t="s">
        <v>890</v>
      </c>
      <c r="I252" s="4">
        <v>91040009</v>
      </c>
      <c r="J252" s="4" t="s">
        <v>892</v>
      </c>
    </row>
    <row r="253" spans="1:10" ht="22.5" customHeight="1">
      <c r="A253" s="3">
        <v>46121.561382673608</v>
      </c>
      <c r="B253" s="4" t="s">
        <v>905</v>
      </c>
      <c r="C253" s="4" t="s">
        <v>876</v>
      </c>
      <c r="D253" s="4" t="s">
        <v>877</v>
      </c>
      <c r="E253" s="4" t="s">
        <v>14</v>
      </c>
      <c r="F253" s="4" t="s">
        <v>15</v>
      </c>
      <c r="G253" s="4" t="s">
        <v>889</v>
      </c>
      <c r="H253" s="4" t="s">
        <v>890</v>
      </c>
      <c r="I253" s="4" t="s">
        <v>906</v>
      </c>
      <c r="J253" s="4" t="s">
        <v>892</v>
      </c>
    </row>
    <row r="254" spans="1:10" ht="22.5" customHeight="1">
      <c r="A254" s="3">
        <v>46121.562191990743</v>
      </c>
      <c r="B254" s="4" t="s">
        <v>907</v>
      </c>
      <c r="C254" s="4" t="s">
        <v>876</v>
      </c>
      <c r="D254" s="4" t="s">
        <v>877</v>
      </c>
      <c r="E254" s="4" t="s">
        <v>14</v>
      </c>
      <c r="F254" s="4" t="s">
        <v>15</v>
      </c>
      <c r="G254" s="4" t="s">
        <v>889</v>
      </c>
      <c r="H254" s="4" t="s">
        <v>890</v>
      </c>
      <c r="I254" s="5" t="s">
        <v>908</v>
      </c>
      <c r="J254" s="4" t="s">
        <v>892</v>
      </c>
    </row>
    <row r="255" spans="1:10" ht="22.5" customHeight="1">
      <c r="A255" s="3">
        <v>46121.562889201392</v>
      </c>
      <c r="B255" s="4" t="s">
        <v>909</v>
      </c>
      <c r="C255" s="4" t="s">
        <v>876</v>
      </c>
      <c r="D255" s="4" t="s">
        <v>877</v>
      </c>
      <c r="E255" s="4" t="s">
        <v>14</v>
      </c>
      <c r="F255" s="4" t="s">
        <v>15</v>
      </c>
      <c r="G255" s="4" t="s">
        <v>889</v>
      </c>
      <c r="H255" s="4" t="s">
        <v>890</v>
      </c>
      <c r="I255" s="4" t="s">
        <v>910</v>
      </c>
      <c r="J255" s="4" t="s">
        <v>892</v>
      </c>
    </row>
    <row r="256" spans="1:10" ht="22.5" customHeight="1">
      <c r="A256" s="3">
        <v>46121.62298458333</v>
      </c>
      <c r="B256" s="4" t="s">
        <v>911</v>
      </c>
      <c r="C256" s="4" t="s">
        <v>912</v>
      </c>
      <c r="D256" s="5" t="s">
        <v>913</v>
      </c>
      <c r="E256" s="4" t="s">
        <v>14</v>
      </c>
      <c r="F256" s="4" t="s">
        <v>15</v>
      </c>
      <c r="G256" s="4" t="s">
        <v>914</v>
      </c>
      <c r="H256" s="4" t="s">
        <v>915</v>
      </c>
      <c r="I256" s="4">
        <v>60170066</v>
      </c>
      <c r="J256" s="4" t="s">
        <v>916</v>
      </c>
    </row>
    <row r="257" spans="1:11" ht="22.5" customHeight="1">
      <c r="A257" s="3">
        <v>46122.406498449069</v>
      </c>
      <c r="B257" s="4" t="s">
        <v>917</v>
      </c>
      <c r="C257" s="4" t="s">
        <v>918</v>
      </c>
      <c r="D257" s="5" t="s">
        <v>919</v>
      </c>
      <c r="E257" s="4" t="s">
        <v>14</v>
      </c>
      <c r="F257" s="4" t="s">
        <v>15</v>
      </c>
      <c r="G257" s="4" t="s">
        <v>679</v>
      </c>
      <c r="H257" s="4" t="s">
        <v>920</v>
      </c>
      <c r="I257" s="4" t="s">
        <v>921</v>
      </c>
      <c r="J257" s="4" t="s">
        <v>922</v>
      </c>
    </row>
    <row r="258" spans="1:11" ht="22.5" customHeight="1">
      <c r="A258" s="3">
        <v>46122.408368969904</v>
      </c>
      <c r="B258" s="4" t="s">
        <v>923</v>
      </c>
      <c r="C258" s="4" t="s">
        <v>924</v>
      </c>
      <c r="D258" s="5" t="s">
        <v>919</v>
      </c>
      <c r="E258" s="4" t="s">
        <v>14</v>
      </c>
      <c r="F258" s="4" t="s">
        <v>15</v>
      </c>
      <c r="G258" s="4" t="s">
        <v>230</v>
      </c>
      <c r="H258" s="4" t="s">
        <v>925</v>
      </c>
      <c r="I258" s="4">
        <v>1712010101</v>
      </c>
      <c r="J258" s="4" t="s">
        <v>922</v>
      </c>
    </row>
    <row r="259" spans="1:11" ht="22.5" customHeight="1">
      <c r="A259" s="3">
        <v>46125.36891258102</v>
      </c>
      <c r="B259" s="4" t="s">
        <v>926</v>
      </c>
      <c r="C259" s="4" t="s">
        <v>927</v>
      </c>
      <c r="D259" s="5" t="s">
        <v>23</v>
      </c>
      <c r="E259" s="4" t="s">
        <v>14</v>
      </c>
      <c r="F259" s="4" t="s">
        <v>15</v>
      </c>
      <c r="G259" s="4" t="s">
        <v>928</v>
      </c>
      <c r="H259" s="4" t="s">
        <v>32</v>
      </c>
      <c r="I259" s="4" t="s">
        <v>32</v>
      </c>
      <c r="J259" s="4" t="s">
        <v>682</v>
      </c>
    </row>
    <row r="260" spans="1:11" ht="22.5" customHeight="1">
      <c r="A260" s="3">
        <v>46126.338025868055</v>
      </c>
      <c r="B260" s="4" t="s">
        <v>929</v>
      </c>
      <c r="C260" s="4" t="s">
        <v>930</v>
      </c>
      <c r="D260" s="5" t="s">
        <v>931</v>
      </c>
      <c r="E260" s="4" t="s">
        <v>14</v>
      </c>
      <c r="F260" s="4" t="s">
        <v>15</v>
      </c>
      <c r="G260" s="4" t="s">
        <v>16</v>
      </c>
      <c r="H260" s="4" t="s">
        <v>932</v>
      </c>
      <c r="I260" s="4" t="s">
        <v>933</v>
      </c>
      <c r="J260" s="4" t="s">
        <v>19</v>
      </c>
    </row>
    <row r="261" spans="1:11" ht="22.5" customHeight="1">
      <c r="A261" s="3">
        <v>46126.422572164352</v>
      </c>
      <c r="B261" s="4" t="s">
        <v>934</v>
      </c>
      <c r="C261" s="4" t="s">
        <v>935</v>
      </c>
      <c r="D261" s="5" t="s">
        <v>936</v>
      </c>
      <c r="E261" s="4" t="s">
        <v>14</v>
      </c>
      <c r="F261" s="4" t="s">
        <v>15</v>
      </c>
      <c r="G261" s="4" t="s">
        <v>102</v>
      </c>
      <c r="H261" s="4" t="s">
        <v>937</v>
      </c>
      <c r="I261" s="4" t="s">
        <v>938</v>
      </c>
      <c r="J261" s="4" t="s">
        <v>19</v>
      </c>
      <c r="K261" s="6" t="s">
        <v>939</v>
      </c>
    </row>
    <row r="262" spans="1:11" ht="22.5" customHeight="1">
      <c r="A262" s="3">
        <v>46126.585544097223</v>
      </c>
      <c r="B262" s="4" t="s">
        <v>940</v>
      </c>
      <c r="C262" s="4" t="s">
        <v>941</v>
      </c>
      <c r="D262" s="5" t="s">
        <v>942</v>
      </c>
      <c r="E262" s="4" t="s">
        <v>14</v>
      </c>
      <c r="F262" s="4" t="s">
        <v>15</v>
      </c>
      <c r="G262" s="4" t="s">
        <v>230</v>
      </c>
      <c r="H262" s="4" t="s">
        <v>287</v>
      </c>
      <c r="I262" s="4" t="s">
        <v>943</v>
      </c>
      <c r="J262" s="4" t="s">
        <v>944</v>
      </c>
    </row>
    <row r="263" spans="1:11" ht="22.5" customHeight="1">
      <c r="A263" s="3">
        <v>46126.586688171301</v>
      </c>
      <c r="B263" s="4" t="s">
        <v>945</v>
      </c>
      <c r="C263" s="4" t="s">
        <v>946</v>
      </c>
      <c r="D263" s="5" t="s">
        <v>942</v>
      </c>
      <c r="E263" s="4" t="s">
        <v>14</v>
      </c>
      <c r="F263" s="4" t="s">
        <v>15</v>
      </c>
      <c r="G263" s="4" t="s">
        <v>947</v>
      </c>
      <c r="H263" s="4" t="s">
        <v>680</v>
      </c>
      <c r="I263" s="4" t="s">
        <v>948</v>
      </c>
      <c r="J263" s="4" t="s">
        <v>922</v>
      </c>
    </row>
    <row r="264" spans="1:11" ht="22.5" customHeight="1">
      <c r="A264" s="3">
        <v>46126.587705486112</v>
      </c>
      <c r="B264" s="4" t="s">
        <v>949</v>
      </c>
      <c r="C264" s="4" t="s">
        <v>950</v>
      </c>
      <c r="D264" s="5" t="s">
        <v>942</v>
      </c>
      <c r="E264" s="4" t="s">
        <v>14</v>
      </c>
      <c r="F264" s="4" t="s">
        <v>15</v>
      </c>
      <c r="G264" s="4" t="s">
        <v>230</v>
      </c>
      <c r="H264" s="4" t="s">
        <v>287</v>
      </c>
      <c r="I264" s="4" t="s">
        <v>32</v>
      </c>
      <c r="J264" s="4" t="s">
        <v>922</v>
      </c>
    </row>
    <row r="265" spans="1:11" ht="22.5" customHeight="1">
      <c r="A265" s="3">
        <v>46126.589216539352</v>
      </c>
      <c r="B265" s="4" t="s">
        <v>951</v>
      </c>
      <c r="C265" s="4" t="s">
        <v>952</v>
      </c>
      <c r="D265" s="5" t="s">
        <v>942</v>
      </c>
      <c r="E265" s="4" t="s">
        <v>14</v>
      </c>
      <c r="F265" s="4" t="s">
        <v>15</v>
      </c>
      <c r="G265" s="4" t="s">
        <v>230</v>
      </c>
      <c r="H265" s="4" t="s">
        <v>287</v>
      </c>
      <c r="I265" s="4" t="s">
        <v>32</v>
      </c>
      <c r="J265" s="4" t="s">
        <v>922</v>
      </c>
    </row>
    <row r="266" spans="1:11" ht="22.5" customHeight="1">
      <c r="A266" s="3">
        <v>46126.592141365742</v>
      </c>
      <c r="B266" s="4" t="s">
        <v>953</v>
      </c>
      <c r="C266" s="4" t="s">
        <v>954</v>
      </c>
      <c r="D266" s="5" t="s">
        <v>942</v>
      </c>
      <c r="E266" s="4" t="s">
        <v>14</v>
      </c>
      <c r="F266" s="4" t="s">
        <v>15</v>
      </c>
      <c r="G266" s="4" t="s">
        <v>955</v>
      </c>
      <c r="H266" s="4" t="s">
        <v>956</v>
      </c>
      <c r="I266" s="4" t="s">
        <v>957</v>
      </c>
      <c r="J266" s="4" t="s">
        <v>922</v>
      </c>
    </row>
    <row r="267" spans="1:11" ht="22.5" customHeight="1">
      <c r="A267" s="3">
        <v>46126.606548912037</v>
      </c>
      <c r="B267" s="4" t="s">
        <v>958</v>
      </c>
      <c r="C267" s="4" t="s">
        <v>959</v>
      </c>
      <c r="D267" s="5" t="s">
        <v>942</v>
      </c>
      <c r="E267" s="4" t="s">
        <v>14</v>
      </c>
      <c r="F267" s="4" t="s">
        <v>15</v>
      </c>
      <c r="G267" s="4" t="s">
        <v>230</v>
      </c>
      <c r="H267" s="4" t="s">
        <v>287</v>
      </c>
      <c r="I267" s="4" t="s">
        <v>960</v>
      </c>
      <c r="J267" s="4" t="s">
        <v>922</v>
      </c>
    </row>
    <row r="268" spans="1:11" ht="22.5" customHeight="1">
      <c r="A268" s="3">
        <v>46126.607816736112</v>
      </c>
      <c r="B268" s="4" t="s">
        <v>961</v>
      </c>
      <c r="C268" s="4" t="s">
        <v>962</v>
      </c>
      <c r="D268" s="5" t="s">
        <v>942</v>
      </c>
      <c r="E268" s="4" t="s">
        <v>14</v>
      </c>
      <c r="F268" s="4" t="s">
        <v>15</v>
      </c>
      <c r="G268" s="4" t="s">
        <v>947</v>
      </c>
      <c r="H268" s="4" t="s">
        <v>680</v>
      </c>
      <c r="I268" s="4" t="s">
        <v>963</v>
      </c>
      <c r="J268" s="4" t="s">
        <v>922</v>
      </c>
    </row>
    <row r="269" spans="1:11" ht="22.5" customHeight="1">
      <c r="A269" s="3">
        <v>46126.799768611112</v>
      </c>
      <c r="B269" s="4" t="s">
        <v>964</v>
      </c>
      <c r="C269" s="4" t="s">
        <v>965</v>
      </c>
      <c r="D269" s="5" t="s">
        <v>23</v>
      </c>
      <c r="E269" s="4" t="s">
        <v>14</v>
      </c>
      <c r="F269" s="4" t="s">
        <v>15</v>
      </c>
      <c r="G269" s="4" t="s">
        <v>966</v>
      </c>
      <c r="H269" s="4" t="s">
        <v>32</v>
      </c>
      <c r="I269" s="4" t="s">
        <v>32</v>
      </c>
      <c r="J269" s="4" t="s">
        <v>967</v>
      </c>
    </row>
    <row r="270" spans="1:11" ht="22.5" customHeight="1">
      <c r="A270" s="3">
        <v>46126.801360405094</v>
      </c>
      <c r="B270" s="4" t="s">
        <v>968</v>
      </c>
      <c r="C270" s="4" t="s">
        <v>965</v>
      </c>
      <c r="D270" s="5" t="s">
        <v>23</v>
      </c>
      <c r="E270" s="4" t="s">
        <v>14</v>
      </c>
      <c r="F270" s="4" t="s">
        <v>15</v>
      </c>
      <c r="G270" s="4" t="s">
        <v>969</v>
      </c>
      <c r="H270" s="4" t="s">
        <v>970</v>
      </c>
      <c r="I270" s="4">
        <v>21200199</v>
      </c>
      <c r="J270" s="4" t="s">
        <v>682</v>
      </c>
    </row>
    <row r="271" spans="1:11" ht="22.5" customHeight="1">
      <c r="A271" s="3">
        <v>46126.803801307869</v>
      </c>
      <c r="B271" s="4" t="s">
        <v>971</v>
      </c>
      <c r="C271" s="4" t="s">
        <v>965</v>
      </c>
      <c r="D271" s="5" t="s">
        <v>23</v>
      </c>
      <c r="E271" s="4" t="s">
        <v>14</v>
      </c>
      <c r="F271" s="4" t="s">
        <v>15</v>
      </c>
      <c r="G271" s="4" t="s">
        <v>972</v>
      </c>
      <c r="H271" s="4" t="s">
        <v>973</v>
      </c>
      <c r="I271" s="4" t="s">
        <v>974</v>
      </c>
      <c r="J271" s="4" t="s">
        <v>975</v>
      </c>
    </row>
    <row r="272" spans="1:11" ht="22.5" customHeight="1">
      <c r="A272" s="3">
        <v>46126.805018101848</v>
      </c>
      <c r="B272" s="4" t="s">
        <v>976</v>
      </c>
      <c r="C272" s="4" t="s">
        <v>965</v>
      </c>
      <c r="D272" s="5" t="s">
        <v>23</v>
      </c>
      <c r="E272" s="4" t="s">
        <v>14</v>
      </c>
      <c r="F272" s="4" t="s">
        <v>15</v>
      </c>
      <c r="G272" s="4" t="s">
        <v>972</v>
      </c>
      <c r="H272" s="4" t="s">
        <v>973</v>
      </c>
      <c r="I272" s="4" t="s">
        <v>977</v>
      </c>
      <c r="J272" s="4" t="s">
        <v>975</v>
      </c>
    </row>
    <row r="273" spans="1:10" ht="22.5" customHeight="1">
      <c r="A273" s="3">
        <v>46126.808426909723</v>
      </c>
      <c r="B273" s="4" t="s">
        <v>978</v>
      </c>
      <c r="C273" s="4" t="s">
        <v>965</v>
      </c>
      <c r="D273" s="5" t="s">
        <v>23</v>
      </c>
      <c r="E273" s="4" t="s">
        <v>14</v>
      </c>
      <c r="F273" s="4" t="s">
        <v>15</v>
      </c>
      <c r="G273" s="4" t="s">
        <v>972</v>
      </c>
      <c r="H273" s="4" t="s">
        <v>973</v>
      </c>
      <c r="I273" s="4" t="s">
        <v>979</v>
      </c>
      <c r="J273" s="4" t="s">
        <v>975</v>
      </c>
    </row>
    <row r="274" spans="1:10" ht="22.5" customHeight="1">
      <c r="A274" s="3">
        <v>46126.810959027775</v>
      </c>
      <c r="B274" s="4" t="s">
        <v>980</v>
      </c>
      <c r="C274" s="4" t="s">
        <v>965</v>
      </c>
      <c r="D274" s="5" t="s">
        <v>23</v>
      </c>
      <c r="E274" s="4" t="s">
        <v>14</v>
      </c>
      <c r="F274" s="4" t="s">
        <v>15</v>
      </c>
      <c r="G274" s="4" t="s">
        <v>972</v>
      </c>
      <c r="H274" s="4" t="s">
        <v>973</v>
      </c>
      <c r="I274" s="4" t="s">
        <v>981</v>
      </c>
      <c r="J274" s="4" t="s">
        <v>975</v>
      </c>
    </row>
    <row r="275" spans="1:10" ht="22.5" customHeight="1">
      <c r="A275" s="3">
        <v>46126.812547962967</v>
      </c>
      <c r="B275" s="4" t="s">
        <v>982</v>
      </c>
      <c r="C275" s="4" t="s">
        <v>965</v>
      </c>
      <c r="D275" s="5" t="s">
        <v>23</v>
      </c>
      <c r="E275" s="4" t="s">
        <v>14</v>
      </c>
      <c r="F275" s="4" t="s">
        <v>15</v>
      </c>
      <c r="G275" s="4" t="s">
        <v>972</v>
      </c>
      <c r="H275" s="4" t="s">
        <v>973</v>
      </c>
      <c r="I275" s="4" t="s">
        <v>983</v>
      </c>
      <c r="J275" s="4" t="s">
        <v>975</v>
      </c>
    </row>
    <row r="276" spans="1:10" ht="22.5" customHeight="1">
      <c r="A276" s="3">
        <v>46126.814559606486</v>
      </c>
      <c r="B276" s="4" t="s">
        <v>984</v>
      </c>
      <c r="C276" s="4" t="s">
        <v>965</v>
      </c>
      <c r="D276" s="5" t="s">
        <v>23</v>
      </c>
      <c r="E276" s="4" t="s">
        <v>14</v>
      </c>
      <c r="F276" s="4" t="s">
        <v>15</v>
      </c>
      <c r="G276" s="4" t="s">
        <v>972</v>
      </c>
      <c r="H276" s="4" t="s">
        <v>973</v>
      </c>
      <c r="I276" s="4" t="s">
        <v>985</v>
      </c>
      <c r="J276" s="4" t="s">
        <v>975</v>
      </c>
    </row>
    <row r="277" spans="1:10" ht="22.5" customHeight="1">
      <c r="A277" s="3">
        <v>46126.815931921301</v>
      </c>
      <c r="B277" s="4" t="s">
        <v>986</v>
      </c>
      <c r="C277" s="4" t="s">
        <v>965</v>
      </c>
      <c r="D277" s="5" t="s">
        <v>23</v>
      </c>
      <c r="E277" s="4" t="s">
        <v>14</v>
      </c>
      <c r="F277" s="4" t="s">
        <v>15</v>
      </c>
      <c r="G277" s="4" t="s">
        <v>972</v>
      </c>
      <c r="H277" s="4" t="s">
        <v>973</v>
      </c>
      <c r="I277" s="4" t="s">
        <v>987</v>
      </c>
      <c r="J277" s="4" t="s">
        <v>975</v>
      </c>
    </row>
    <row r="278" spans="1:10" ht="22.5" customHeight="1">
      <c r="A278" s="3">
        <v>46126.817547106482</v>
      </c>
      <c r="B278" s="4" t="s">
        <v>988</v>
      </c>
      <c r="C278" s="4" t="s">
        <v>965</v>
      </c>
      <c r="D278" s="5" t="s">
        <v>23</v>
      </c>
      <c r="E278" s="4" t="s">
        <v>14</v>
      </c>
      <c r="F278" s="4" t="s">
        <v>15</v>
      </c>
      <c r="G278" s="4" t="s">
        <v>972</v>
      </c>
      <c r="H278" s="4" t="s">
        <v>973</v>
      </c>
      <c r="I278" s="4" t="s">
        <v>989</v>
      </c>
      <c r="J278" s="4" t="s">
        <v>975</v>
      </c>
    </row>
    <row r="279" spans="1:10" ht="22.5" customHeight="1">
      <c r="A279" s="3">
        <v>46126.818547268515</v>
      </c>
      <c r="B279" s="4" t="s">
        <v>990</v>
      </c>
      <c r="C279" s="4" t="s">
        <v>965</v>
      </c>
      <c r="D279" s="5" t="s">
        <v>23</v>
      </c>
      <c r="E279" s="4" t="s">
        <v>14</v>
      </c>
      <c r="F279" s="4" t="s">
        <v>15</v>
      </c>
      <c r="G279" s="4" t="s">
        <v>972</v>
      </c>
      <c r="H279" s="4" t="s">
        <v>973</v>
      </c>
      <c r="I279" s="4" t="s">
        <v>991</v>
      </c>
      <c r="J279" s="4" t="s">
        <v>975</v>
      </c>
    </row>
    <row r="280" spans="1:10" ht="22.5" customHeight="1">
      <c r="A280" s="3">
        <v>46126.819868101855</v>
      </c>
      <c r="B280" s="4" t="s">
        <v>992</v>
      </c>
      <c r="C280" s="4" t="s">
        <v>965</v>
      </c>
      <c r="D280" s="5" t="s">
        <v>23</v>
      </c>
      <c r="E280" s="4" t="s">
        <v>14</v>
      </c>
      <c r="F280" s="4" t="s">
        <v>15</v>
      </c>
      <c r="G280" s="4" t="s">
        <v>972</v>
      </c>
      <c r="H280" s="4" t="s">
        <v>973</v>
      </c>
      <c r="I280" s="4" t="s">
        <v>993</v>
      </c>
      <c r="J280" s="4" t="s">
        <v>975</v>
      </c>
    </row>
    <row r="281" spans="1:10" ht="22.5" customHeight="1">
      <c r="A281" s="3">
        <v>46126.821495983793</v>
      </c>
      <c r="B281" s="4" t="s">
        <v>994</v>
      </c>
      <c r="C281" s="4" t="s">
        <v>965</v>
      </c>
      <c r="D281" s="5" t="s">
        <v>23</v>
      </c>
      <c r="E281" s="4" t="s">
        <v>14</v>
      </c>
      <c r="F281" s="4" t="s">
        <v>15</v>
      </c>
      <c r="G281" s="4" t="s">
        <v>972</v>
      </c>
      <c r="H281" s="4" t="s">
        <v>973</v>
      </c>
      <c r="I281" s="4" t="s">
        <v>995</v>
      </c>
      <c r="J281" s="4" t="s">
        <v>975</v>
      </c>
    </row>
    <row r="282" spans="1:10" ht="22.5" customHeight="1">
      <c r="A282" s="3">
        <v>46126.822514004627</v>
      </c>
      <c r="B282" s="4" t="s">
        <v>996</v>
      </c>
      <c r="C282" s="4" t="s">
        <v>965</v>
      </c>
      <c r="D282" s="5" t="s">
        <v>23</v>
      </c>
      <c r="E282" s="4" t="s">
        <v>14</v>
      </c>
      <c r="F282" s="4" t="s">
        <v>15</v>
      </c>
      <c r="G282" s="4" t="s">
        <v>972</v>
      </c>
      <c r="H282" s="4" t="s">
        <v>973</v>
      </c>
      <c r="I282" s="4" t="s">
        <v>997</v>
      </c>
      <c r="J282" s="4" t="s">
        <v>975</v>
      </c>
    </row>
    <row r="283" spans="1:10" ht="22.5" customHeight="1">
      <c r="A283" s="3">
        <v>46126.824082824074</v>
      </c>
      <c r="B283" s="4" t="s">
        <v>998</v>
      </c>
      <c r="C283" s="4" t="s">
        <v>965</v>
      </c>
      <c r="D283" s="5" t="s">
        <v>23</v>
      </c>
      <c r="E283" s="4" t="s">
        <v>14</v>
      </c>
      <c r="F283" s="4" t="s">
        <v>15</v>
      </c>
      <c r="G283" s="4" t="s">
        <v>972</v>
      </c>
      <c r="H283" s="4" t="s">
        <v>999</v>
      </c>
      <c r="I283" s="4" t="s">
        <v>1000</v>
      </c>
      <c r="J283" s="4" t="s">
        <v>1001</v>
      </c>
    </row>
    <row r="284" spans="1:10" ht="22.5" customHeight="1">
      <c r="A284" s="3">
        <v>46126.825433368052</v>
      </c>
      <c r="B284" s="4" t="s">
        <v>1002</v>
      </c>
      <c r="C284" s="4" t="s">
        <v>965</v>
      </c>
      <c r="D284" s="5" t="s">
        <v>23</v>
      </c>
      <c r="E284" s="4" t="s">
        <v>14</v>
      </c>
      <c r="F284" s="4" t="s">
        <v>15</v>
      </c>
      <c r="G284" s="4" t="s">
        <v>972</v>
      </c>
      <c r="H284" s="4" t="s">
        <v>999</v>
      </c>
      <c r="I284" s="4" t="s">
        <v>1003</v>
      </c>
      <c r="J284" s="4" t="s">
        <v>1001</v>
      </c>
    </row>
    <row r="285" spans="1:10" ht="22.5" customHeight="1">
      <c r="A285" s="3">
        <v>46126.827191631943</v>
      </c>
      <c r="B285" s="4" t="s">
        <v>1002</v>
      </c>
      <c r="C285" s="4" t="s">
        <v>965</v>
      </c>
      <c r="D285" s="5" t="s">
        <v>23</v>
      </c>
      <c r="E285" s="4" t="s">
        <v>14</v>
      </c>
      <c r="F285" s="4" t="s">
        <v>15</v>
      </c>
      <c r="G285" s="4" t="s">
        <v>972</v>
      </c>
      <c r="H285" s="4" t="s">
        <v>999</v>
      </c>
      <c r="I285" s="4" t="s">
        <v>1004</v>
      </c>
      <c r="J285" s="4" t="s">
        <v>1001</v>
      </c>
    </row>
    <row r="286" spans="1:10" ht="22.5" customHeight="1">
      <c r="A286" s="3">
        <v>46126.829104675926</v>
      </c>
      <c r="B286" s="4" t="s">
        <v>1005</v>
      </c>
      <c r="C286" s="4" t="s">
        <v>965</v>
      </c>
      <c r="D286" s="5" t="s">
        <v>23</v>
      </c>
      <c r="E286" s="4" t="s">
        <v>14</v>
      </c>
      <c r="F286" s="4" t="s">
        <v>15</v>
      </c>
      <c r="G286" s="4" t="s">
        <v>972</v>
      </c>
      <c r="H286" s="4" t="s">
        <v>999</v>
      </c>
      <c r="I286" s="4" t="s">
        <v>1006</v>
      </c>
      <c r="J286" s="4" t="s">
        <v>1001</v>
      </c>
    </row>
    <row r="287" spans="1:10" ht="22.5" customHeight="1">
      <c r="A287" s="3">
        <v>46126.830880231486</v>
      </c>
      <c r="B287" s="4" t="s">
        <v>1007</v>
      </c>
      <c r="C287" s="4" t="s">
        <v>965</v>
      </c>
      <c r="D287" s="5" t="s">
        <v>23</v>
      </c>
      <c r="E287" s="4" t="s">
        <v>14</v>
      </c>
      <c r="F287" s="4" t="s">
        <v>15</v>
      </c>
      <c r="G287" s="4" t="s">
        <v>972</v>
      </c>
      <c r="H287" s="4" t="s">
        <v>999</v>
      </c>
      <c r="I287" s="4" t="s">
        <v>1008</v>
      </c>
      <c r="J287" s="4" t="s">
        <v>1001</v>
      </c>
    </row>
    <row r="288" spans="1:10" ht="22.5" customHeight="1">
      <c r="A288" s="3">
        <v>46126.832256249996</v>
      </c>
      <c r="B288" s="4" t="s">
        <v>1007</v>
      </c>
      <c r="C288" s="4" t="s">
        <v>965</v>
      </c>
      <c r="D288" s="5" t="s">
        <v>23</v>
      </c>
      <c r="E288" s="4" t="s">
        <v>14</v>
      </c>
      <c r="F288" s="4" t="s">
        <v>15</v>
      </c>
      <c r="G288" s="4" t="s">
        <v>972</v>
      </c>
      <c r="H288" s="4" t="s">
        <v>999</v>
      </c>
      <c r="I288" s="4" t="s">
        <v>1009</v>
      </c>
      <c r="J288" s="4" t="s">
        <v>1001</v>
      </c>
    </row>
    <row r="289" spans="1:11" ht="22.5" customHeight="1">
      <c r="A289" s="3">
        <v>46126.834913680555</v>
      </c>
      <c r="B289" s="4" t="s">
        <v>1010</v>
      </c>
      <c r="C289" s="4" t="s">
        <v>965</v>
      </c>
      <c r="D289" s="5" t="s">
        <v>23</v>
      </c>
      <c r="E289" s="4" t="s">
        <v>14</v>
      </c>
      <c r="F289" s="4" t="s">
        <v>15</v>
      </c>
      <c r="G289" s="4" t="s">
        <v>972</v>
      </c>
      <c r="H289" s="4" t="s">
        <v>1011</v>
      </c>
      <c r="I289" s="4" t="s">
        <v>1012</v>
      </c>
      <c r="J289" s="4" t="s">
        <v>1013</v>
      </c>
    </row>
    <row r="290" spans="1:11" ht="22.5" customHeight="1">
      <c r="A290" s="3">
        <v>46128.403707928243</v>
      </c>
      <c r="B290" s="4" t="s">
        <v>1014</v>
      </c>
      <c r="C290" s="4" t="s">
        <v>1015</v>
      </c>
      <c r="D290" s="5" t="s">
        <v>942</v>
      </c>
      <c r="E290" s="4" t="s">
        <v>14</v>
      </c>
      <c r="F290" s="4" t="s">
        <v>15</v>
      </c>
      <c r="G290" s="4" t="s">
        <v>1016</v>
      </c>
      <c r="H290" s="4" t="s">
        <v>680</v>
      </c>
      <c r="I290" s="4" t="s">
        <v>1017</v>
      </c>
      <c r="J290" s="4" t="s">
        <v>1018</v>
      </c>
    </row>
    <row r="291" spans="1:11" ht="22.5" customHeight="1">
      <c r="A291" s="3">
        <v>46128.406441134255</v>
      </c>
      <c r="B291" s="4" t="s">
        <v>1014</v>
      </c>
      <c r="C291" s="4" t="s">
        <v>1019</v>
      </c>
      <c r="D291" s="5" t="s">
        <v>942</v>
      </c>
      <c r="E291" s="4" t="s">
        <v>14</v>
      </c>
      <c r="F291" s="4" t="s">
        <v>15</v>
      </c>
      <c r="G291" s="4" t="s">
        <v>1016</v>
      </c>
      <c r="H291" s="4" t="s">
        <v>680</v>
      </c>
      <c r="I291" s="4" t="s">
        <v>1020</v>
      </c>
      <c r="J291" s="4" t="s">
        <v>1021</v>
      </c>
    </row>
    <row r="292" spans="1:11" ht="22.5" customHeight="1">
      <c r="A292" s="3">
        <v>46132.350382881945</v>
      </c>
      <c r="B292" s="4" t="s">
        <v>1022</v>
      </c>
      <c r="C292" s="4" t="s">
        <v>1023</v>
      </c>
      <c r="D292" s="5" t="s">
        <v>1024</v>
      </c>
      <c r="E292" s="4" t="s">
        <v>14</v>
      </c>
      <c r="F292" s="4" t="s">
        <v>271</v>
      </c>
      <c r="G292" s="4" t="s">
        <v>64</v>
      </c>
      <c r="H292" s="4" t="s">
        <v>1025</v>
      </c>
      <c r="I292" s="4">
        <v>22190</v>
      </c>
      <c r="J292" s="4" t="s">
        <v>273</v>
      </c>
      <c r="K292" s="6" t="s">
        <v>1026</v>
      </c>
    </row>
    <row r="293" spans="1:11" ht="22.5" customHeight="1">
      <c r="A293" s="3">
        <v>46132.393721875</v>
      </c>
      <c r="B293" s="4" t="s">
        <v>1027</v>
      </c>
      <c r="C293" s="4" t="s">
        <v>1028</v>
      </c>
      <c r="D293" s="5" t="s">
        <v>1029</v>
      </c>
      <c r="E293" s="4" t="s">
        <v>14</v>
      </c>
      <c r="F293" s="4" t="s">
        <v>15</v>
      </c>
      <c r="G293" s="4" t="s">
        <v>1030</v>
      </c>
      <c r="H293" s="4" t="s">
        <v>219</v>
      </c>
      <c r="I293" s="4" t="s">
        <v>32</v>
      </c>
      <c r="J293" s="4" t="s">
        <v>535</v>
      </c>
    </row>
    <row r="294" spans="1:11" ht="22.5" customHeight="1">
      <c r="A294" s="3">
        <v>46135.626342280091</v>
      </c>
      <c r="B294" s="4" t="s">
        <v>1031</v>
      </c>
      <c r="C294" s="4" t="s">
        <v>1032</v>
      </c>
      <c r="D294" s="5" t="s">
        <v>1033</v>
      </c>
      <c r="E294" s="4" t="s">
        <v>14</v>
      </c>
      <c r="F294" s="4" t="s">
        <v>15</v>
      </c>
      <c r="G294" s="4" t="s">
        <v>1034</v>
      </c>
      <c r="H294" s="4" t="s">
        <v>1035</v>
      </c>
      <c r="J294" s="4" t="s">
        <v>1036</v>
      </c>
    </row>
    <row r="295" spans="1:11" ht="22.5" customHeight="1">
      <c r="A295" s="3">
        <v>46139.392479027782</v>
      </c>
      <c r="B295" s="4" t="s">
        <v>1037</v>
      </c>
      <c r="C295" s="4" t="s">
        <v>1038</v>
      </c>
      <c r="D295" s="5" t="s">
        <v>1039</v>
      </c>
      <c r="E295" s="4" t="s">
        <v>14</v>
      </c>
      <c r="F295" s="4" t="s">
        <v>15</v>
      </c>
      <c r="G295" s="4" t="s">
        <v>154</v>
      </c>
      <c r="H295" s="4" t="s">
        <v>1040</v>
      </c>
      <c r="I295" s="4" t="s">
        <v>32</v>
      </c>
      <c r="J295" s="4" t="s">
        <v>1041</v>
      </c>
      <c r="K295" s="6" t="s">
        <v>1042</v>
      </c>
    </row>
    <row r="296" spans="1:11" ht="22.5" customHeight="1">
      <c r="A296" s="3">
        <v>46139.488603587961</v>
      </c>
      <c r="B296" s="4" t="s">
        <v>1043</v>
      </c>
      <c r="C296" s="4" t="s">
        <v>1044</v>
      </c>
      <c r="D296" s="5" t="s">
        <v>1045</v>
      </c>
      <c r="E296" s="4" t="s">
        <v>14</v>
      </c>
      <c r="F296" s="4" t="s">
        <v>15</v>
      </c>
      <c r="G296" s="4" t="s">
        <v>102</v>
      </c>
      <c r="H296" s="4" t="s">
        <v>1046</v>
      </c>
      <c r="I296" s="4" t="s">
        <v>1047</v>
      </c>
      <c r="J296" s="4" t="s">
        <v>19</v>
      </c>
    </row>
    <row r="297" spans="1:11" ht="22.5" customHeight="1">
      <c r="A297" s="3">
        <v>46141.571532928239</v>
      </c>
      <c r="B297" s="4" t="s">
        <v>1048</v>
      </c>
      <c r="C297" s="4" t="s">
        <v>1049</v>
      </c>
      <c r="D297" s="5" t="s">
        <v>1050</v>
      </c>
      <c r="E297" s="4" t="s">
        <v>14</v>
      </c>
      <c r="F297" s="4" t="s">
        <v>15</v>
      </c>
      <c r="G297" s="4" t="s">
        <v>16</v>
      </c>
      <c r="H297" s="4" t="s">
        <v>932</v>
      </c>
      <c r="I297" s="4" t="s">
        <v>1051</v>
      </c>
      <c r="J297" s="4" t="s">
        <v>19</v>
      </c>
      <c r="K297" s="6" t="s">
        <v>1052</v>
      </c>
    </row>
    <row r="298" spans="1:11" ht="22.5" customHeight="1">
      <c r="A298" s="3">
        <v>46142.631415127311</v>
      </c>
      <c r="B298" s="4" t="s">
        <v>1053</v>
      </c>
      <c r="C298" s="4" t="s">
        <v>1054</v>
      </c>
      <c r="D298" s="4" t="s">
        <v>1055</v>
      </c>
      <c r="E298" s="4" t="s">
        <v>14</v>
      </c>
      <c r="F298" s="4" t="s">
        <v>15</v>
      </c>
      <c r="G298" s="4" t="s">
        <v>1056</v>
      </c>
      <c r="H298" s="4" t="s">
        <v>1057</v>
      </c>
      <c r="I298" s="4">
        <v>1107484</v>
      </c>
      <c r="J298" s="4" t="s">
        <v>1058</v>
      </c>
    </row>
    <row r="299" spans="1:11" ht="22.5" customHeight="1">
      <c r="A299" s="3">
        <v>46146.590130775461</v>
      </c>
      <c r="B299" s="4" t="s">
        <v>1059</v>
      </c>
      <c r="C299" s="4" t="s">
        <v>1060</v>
      </c>
      <c r="D299" s="4" t="s">
        <v>1061</v>
      </c>
      <c r="E299" s="4" t="s">
        <v>14</v>
      </c>
      <c r="F299" s="4" t="s">
        <v>15</v>
      </c>
      <c r="G299" s="4" t="s">
        <v>1062</v>
      </c>
      <c r="H299" s="4" t="s">
        <v>1063</v>
      </c>
      <c r="I299" s="4">
        <v>1726962</v>
      </c>
      <c r="J299" s="4" t="s">
        <v>1064</v>
      </c>
    </row>
    <row r="300" spans="1:11" ht="22.5" customHeight="1">
      <c r="A300" s="3">
        <v>46146.59148185185</v>
      </c>
      <c r="B300" s="4" t="s">
        <v>1065</v>
      </c>
      <c r="C300" s="4" t="s">
        <v>1060</v>
      </c>
      <c r="D300" s="4" t="s">
        <v>1061</v>
      </c>
      <c r="E300" s="4" t="s">
        <v>14</v>
      </c>
      <c r="F300" s="4" t="s">
        <v>15</v>
      </c>
      <c r="G300" s="4" t="s">
        <v>1066</v>
      </c>
      <c r="H300" s="4" t="s">
        <v>1067</v>
      </c>
      <c r="I300" s="4" t="s">
        <v>1068</v>
      </c>
      <c r="J300" s="4" t="s">
        <v>1069</v>
      </c>
    </row>
    <row r="301" spans="1:11" ht="22.5" customHeight="1">
      <c r="A301" s="3">
        <v>46146.592775520832</v>
      </c>
      <c r="B301" s="4" t="s">
        <v>1070</v>
      </c>
      <c r="C301" s="4" t="s">
        <v>1060</v>
      </c>
      <c r="D301" s="4" t="s">
        <v>1061</v>
      </c>
      <c r="E301" s="4" t="s">
        <v>14</v>
      </c>
      <c r="F301" s="4" t="s">
        <v>15</v>
      </c>
      <c r="G301" s="4" t="s">
        <v>1066</v>
      </c>
      <c r="H301" s="4" t="s">
        <v>1071</v>
      </c>
      <c r="I301" s="4" t="s">
        <v>1072</v>
      </c>
      <c r="J301" s="4" t="s">
        <v>922</v>
      </c>
    </row>
    <row r="302" spans="1:11" ht="22.5" customHeight="1">
      <c r="A302" s="3">
        <v>46146.593481469907</v>
      </c>
      <c r="B302" s="4" t="s">
        <v>1073</v>
      </c>
      <c r="C302" s="4" t="s">
        <v>1060</v>
      </c>
      <c r="D302" s="4" t="s">
        <v>1061</v>
      </c>
      <c r="E302" s="4" t="s">
        <v>14</v>
      </c>
      <c r="F302" s="4" t="s">
        <v>15</v>
      </c>
      <c r="G302" s="4" t="s">
        <v>16</v>
      </c>
      <c r="H302" s="4" t="s">
        <v>932</v>
      </c>
      <c r="I302" s="4" t="s">
        <v>1074</v>
      </c>
      <c r="J302" s="4" t="s">
        <v>19</v>
      </c>
    </row>
    <row r="303" spans="1:11" ht="22.5" customHeight="1">
      <c r="A303" s="3">
        <v>46146.596024756946</v>
      </c>
      <c r="B303" s="4" t="s">
        <v>1075</v>
      </c>
      <c r="C303" s="4" t="s">
        <v>1060</v>
      </c>
      <c r="D303" s="4" t="s">
        <v>1061</v>
      </c>
      <c r="E303" s="4" t="s">
        <v>14</v>
      </c>
      <c r="F303" s="4" t="s">
        <v>15</v>
      </c>
      <c r="G303" s="4" t="s">
        <v>1076</v>
      </c>
      <c r="H303" s="4" t="s">
        <v>32</v>
      </c>
      <c r="I303" s="4" t="s">
        <v>32</v>
      </c>
      <c r="J303" s="4" t="s">
        <v>1077</v>
      </c>
    </row>
    <row r="304" spans="1:11" ht="22.5" customHeight="1">
      <c r="A304" s="3">
        <v>46147.598505960646</v>
      </c>
      <c r="B304" s="4" t="s">
        <v>1078</v>
      </c>
      <c r="C304" s="4" t="s">
        <v>1079</v>
      </c>
      <c r="D304" s="5" t="s">
        <v>1080</v>
      </c>
      <c r="E304" s="4" t="s">
        <v>14</v>
      </c>
      <c r="F304" s="4" t="s">
        <v>15</v>
      </c>
      <c r="G304" s="4" t="s">
        <v>16</v>
      </c>
      <c r="H304" s="4" t="s">
        <v>1081</v>
      </c>
      <c r="I304" s="5" t="s">
        <v>1082</v>
      </c>
      <c r="J304" s="4" t="s">
        <v>163</v>
      </c>
    </row>
    <row r="305" spans="1:10" ht="22.5" customHeight="1">
      <c r="A305" s="3">
        <v>46148.506366620371</v>
      </c>
      <c r="B305" s="4" t="s">
        <v>1083</v>
      </c>
      <c r="C305" s="4" t="s">
        <v>1084</v>
      </c>
      <c r="D305" s="4" t="s">
        <v>32</v>
      </c>
      <c r="E305" s="4" t="s">
        <v>14</v>
      </c>
      <c r="F305" s="4" t="s">
        <v>15</v>
      </c>
      <c r="G305" s="4" t="s">
        <v>1085</v>
      </c>
      <c r="H305" s="4" t="s">
        <v>1086</v>
      </c>
      <c r="I305" s="4" t="s">
        <v>1087</v>
      </c>
      <c r="J305" s="4" t="s">
        <v>1088</v>
      </c>
    </row>
    <row r="306" spans="1:10" ht="22.5" customHeight="1">
      <c r="A306" s="3">
        <v>46148.509596828706</v>
      </c>
      <c r="B306" s="4" t="s">
        <v>1089</v>
      </c>
      <c r="C306" s="4" t="s">
        <v>1084</v>
      </c>
      <c r="D306" s="4" t="s">
        <v>32</v>
      </c>
      <c r="E306" s="4" t="s">
        <v>14</v>
      </c>
      <c r="F306" s="4" t="s">
        <v>15</v>
      </c>
      <c r="G306" s="4" t="s">
        <v>1085</v>
      </c>
      <c r="H306" s="4" t="s">
        <v>1086</v>
      </c>
      <c r="I306" s="4" t="s">
        <v>1090</v>
      </c>
      <c r="J306" s="4" t="s">
        <v>1091</v>
      </c>
    </row>
    <row r="307" spans="1:10" ht="22.5" customHeight="1">
      <c r="A307" s="3">
        <v>46148.51017819444</v>
      </c>
      <c r="B307" s="4" t="s">
        <v>1092</v>
      </c>
      <c r="C307" s="4" t="s">
        <v>1084</v>
      </c>
      <c r="D307" s="4" t="s">
        <v>32</v>
      </c>
      <c r="E307" s="4" t="s">
        <v>14</v>
      </c>
      <c r="F307" s="4" t="s">
        <v>15</v>
      </c>
      <c r="G307" s="4" t="s">
        <v>25</v>
      </c>
      <c r="H307" s="4" t="s">
        <v>32</v>
      </c>
      <c r="I307" s="4" t="s">
        <v>32</v>
      </c>
      <c r="J307" s="4" t="s">
        <v>1093</v>
      </c>
    </row>
    <row r="308" spans="1:10" ht="22.5" customHeight="1">
      <c r="A308" s="3">
        <v>46149.437938738425</v>
      </c>
      <c r="B308" s="4" t="s">
        <v>1094</v>
      </c>
      <c r="C308" s="4" t="s">
        <v>1095</v>
      </c>
      <c r="D308" s="5" t="s">
        <v>1096</v>
      </c>
      <c r="E308" s="4" t="s">
        <v>14</v>
      </c>
      <c r="F308" s="4" t="s">
        <v>271</v>
      </c>
      <c r="G308" s="4" t="s">
        <v>64</v>
      </c>
      <c r="H308" s="4" t="s">
        <v>32</v>
      </c>
      <c r="I308" s="4">
        <v>24512</v>
      </c>
      <c r="J308" s="4" t="s">
        <v>1097</v>
      </c>
    </row>
    <row r="309" spans="1:10" ht="22.5" customHeight="1">
      <c r="A309" s="3">
        <v>46150.412145590279</v>
      </c>
      <c r="B309" s="4" t="s">
        <v>1098</v>
      </c>
      <c r="C309" s="4" t="s">
        <v>1099</v>
      </c>
      <c r="D309" s="5" t="s">
        <v>1100</v>
      </c>
      <c r="E309" s="4" t="s">
        <v>14</v>
      </c>
      <c r="F309" s="4" t="s">
        <v>15</v>
      </c>
      <c r="G309" s="4" t="s">
        <v>154</v>
      </c>
      <c r="H309" s="4" t="s">
        <v>155</v>
      </c>
      <c r="I309" s="4" t="s">
        <v>32</v>
      </c>
      <c r="J309" s="4" t="s">
        <v>1101</v>
      </c>
    </row>
    <row r="310" spans="1:10" ht="22.5" customHeight="1">
      <c r="A310" s="3">
        <v>46153.401743599534</v>
      </c>
      <c r="B310" s="4" t="s">
        <v>1102</v>
      </c>
      <c r="C310" s="4" t="s">
        <v>1103</v>
      </c>
      <c r="D310" s="5" t="s">
        <v>1104</v>
      </c>
      <c r="E310" s="4" t="s">
        <v>14</v>
      </c>
      <c r="F310" s="4" t="s">
        <v>15</v>
      </c>
      <c r="G310" s="4" t="s">
        <v>1105</v>
      </c>
      <c r="H310" s="4" t="s">
        <v>287</v>
      </c>
      <c r="I310" s="4" t="s">
        <v>32</v>
      </c>
      <c r="J310" s="4" t="s">
        <v>922</v>
      </c>
    </row>
    <row r="311" spans="1:10" ht="22.5" customHeight="1">
      <c r="A311" s="3">
        <v>46153.512080648143</v>
      </c>
      <c r="B311" s="4" t="s">
        <v>1106</v>
      </c>
      <c r="C311" s="4" t="s">
        <v>1107</v>
      </c>
      <c r="D311" s="5" t="s">
        <v>1108</v>
      </c>
      <c r="E311" s="4" t="s">
        <v>14</v>
      </c>
      <c r="F311" s="4" t="s">
        <v>1109</v>
      </c>
      <c r="G311" s="4" t="s">
        <v>1110</v>
      </c>
      <c r="H311" s="4" t="s">
        <v>32</v>
      </c>
      <c r="I311" s="4" t="s">
        <v>32</v>
      </c>
      <c r="J311" s="4" t="s">
        <v>338</v>
      </c>
    </row>
    <row r="312" spans="1:10" ht="22.5" customHeight="1">
      <c r="A312" s="3">
        <v>46153.517032812495</v>
      </c>
      <c r="B312" s="4" t="s">
        <v>1111</v>
      </c>
      <c r="C312" s="4" t="s">
        <v>1112</v>
      </c>
      <c r="D312" s="5" t="s">
        <v>1113</v>
      </c>
      <c r="E312" s="4" t="s">
        <v>14</v>
      </c>
      <c r="F312" s="4" t="s">
        <v>15</v>
      </c>
      <c r="G312" s="4" t="s">
        <v>1114</v>
      </c>
      <c r="H312" s="4" t="s">
        <v>1115</v>
      </c>
      <c r="I312" s="4">
        <v>21002688</v>
      </c>
      <c r="J312" s="4" t="s">
        <v>682</v>
      </c>
    </row>
    <row r="313" spans="1:10" ht="22.5" customHeight="1">
      <c r="A313" s="3">
        <v>46154.449936296296</v>
      </c>
      <c r="B313" s="4" t="s">
        <v>1116</v>
      </c>
      <c r="C313" s="4" t="s">
        <v>1117</v>
      </c>
      <c r="D313" s="5" t="s">
        <v>1118</v>
      </c>
      <c r="E313" s="4" t="s">
        <v>14</v>
      </c>
      <c r="F313" s="4" t="s">
        <v>15</v>
      </c>
      <c r="G313" s="4" t="s">
        <v>16</v>
      </c>
      <c r="H313" s="4" t="s">
        <v>932</v>
      </c>
      <c r="I313" s="4" t="s">
        <v>1119</v>
      </c>
      <c r="J313" s="4" t="s">
        <v>105</v>
      </c>
    </row>
    <row r="314" spans="1:10" ht="22.5" customHeight="1">
      <c r="A314" s="11">
        <v>46162.388839537038</v>
      </c>
      <c r="B314" s="4" t="s">
        <v>1120</v>
      </c>
      <c r="C314" s="4" t="s">
        <v>1121</v>
      </c>
      <c r="D314" s="5" t="s">
        <v>1122</v>
      </c>
      <c r="E314" s="4" t="s">
        <v>14</v>
      </c>
      <c r="F314" s="4" t="s">
        <v>271</v>
      </c>
      <c r="G314" s="4" t="s">
        <v>1123</v>
      </c>
      <c r="H314" s="4" t="s">
        <v>32</v>
      </c>
      <c r="I314" s="4">
        <v>77420</v>
      </c>
      <c r="J314" s="4" t="s">
        <v>273</v>
      </c>
    </row>
    <row r="315" spans="1:10" ht="22.5" customHeight="1">
      <c r="A315" s="11">
        <v>46162.591995046299</v>
      </c>
      <c r="B315" s="4" t="s">
        <v>1124</v>
      </c>
      <c r="C315" s="4" t="s">
        <v>1125</v>
      </c>
      <c r="D315" s="5" t="s">
        <v>1126</v>
      </c>
      <c r="E315" s="4" t="s">
        <v>14</v>
      </c>
      <c r="F315" s="4" t="s">
        <v>15</v>
      </c>
      <c r="G315" s="4" t="s">
        <v>16</v>
      </c>
      <c r="H315" s="4" t="s">
        <v>932</v>
      </c>
      <c r="I315" s="4">
        <v>128</v>
      </c>
      <c r="J315" s="4" t="s">
        <v>19</v>
      </c>
    </row>
    <row r="316" spans="1:10" ht="22.5" customHeight="1">
      <c r="A316" s="11">
        <v>46164.461549953703</v>
      </c>
      <c r="B316" s="4" t="s">
        <v>1127</v>
      </c>
      <c r="C316" s="4" t="s">
        <v>1128</v>
      </c>
      <c r="D316" s="5" t="s">
        <v>1129</v>
      </c>
      <c r="E316" s="4" t="s">
        <v>14</v>
      </c>
      <c r="F316" s="4" t="s">
        <v>15</v>
      </c>
      <c r="G316" s="4" t="s">
        <v>102</v>
      </c>
      <c r="H316" s="4" t="s">
        <v>1130</v>
      </c>
      <c r="I316" s="4" t="s">
        <v>1131</v>
      </c>
      <c r="J316" s="4" t="s">
        <v>19</v>
      </c>
    </row>
    <row r="317" spans="1:10" ht="22.5" customHeight="1">
      <c r="A317" s="11">
        <v>46166.868972303244</v>
      </c>
      <c r="B317" s="4" t="s">
        <v>1132</v>
      </c>
      <c r="C317" s="4" t="s">
        <v>1133</v>
      </c>
      <c r="D317" s="5" t="s">
        <v>23</v>
      </c>
      <c r="E317" s="4" t="s">
        <v>14</v>
      </c>
      <c r="F317" s="4" t="s">
        <v>70</v>
      </c>
      <c r="G317" s="4" t="s">
        <v>1134</v>
      </c>
      <c r="H317" s="4" t="s">
        <v>32</v>
      </c>
      <c r="I317" s="4">
        <v>120438</v>
      </c>
      <c r="J317" s="4" t="s">
        <v>75</v>
      </c>
    </row>
    <row r="318" spans="1:10" ht="22.5" customHeight="1">
      <c r="A318" s="11">
        <v>46166.870534085647</v>
      </c>
      <c r="B318" s="4" t="s">
        <v>1135</v>
      </c>
      <c r="C318" s="4" t="s">
        <v>1133</v>
      </c>
      <c r="D318" s="5" t="s">
        <v>23</v>
      </c>
      <c r="E318" s="4" t="s">
        <v>14</v>
      </c>
      <c r="F318" s="4" t="s">
        <v>70</v>
      </c>
      <c r="G318" s="4" t="s">
        <v>1136</v>
      </c>
      <c r="H318" s="4" t="s">
        <v>32</v>
      </c>
      <c r="I318" s="4">
        <v>170181</v>
      </c>
      <c r="J318" s="4" t="s">
        <v>75</v>
      </c>
    </row>
    <row r="319" spans="1:10" ht="22.5" customHeight="1">
      <c r="A319" s="3">
        <v>46166.870578703703</v>
      </c>
      <c r="B319" s="4" t="s">
        <v>1137</v>
      </c>
      <c r="C319" s="4" t="s">
        <v>1133</v>
      </c>
      <c r="D319" s="5" t="s">
        <v>23</v>
      </c>
      <c r="E319" s="4" t="s">
        <v>14</v>
      </c>
      <c r="F319" s="4" t="s">
        <v>70</v>
      </c>
      <c r="G319" s="4" t="s">
        <v>98</v>
      </c>
      <c r="H319" s="4" t="s">
        <v>32</v>
      </c>
      <c r="I319" s="4">
        <v>25128</v>
      </c>
      <c r="J319" s="4" t="s">
        <v>916</v>
      </c>
    </row>
    <row r="320" spans="1:10" ht="22.5" customHeight="1">
      <c r="A320" s="11">
        <v>46166.87290736111</v>
      </c>
      <c r="B320" s="4" t="s">
        <v>1138</v>
      </c>
      <c r="C320" s="4" t="s">
        <v>1139</v>
      </c>
      <c r="D320" s="5" t="s">
        <v>23</v>
      </c>
      <c r="E320" s="4" t="s">
        <v>14</v>
      </c>
      <c r="F320" s="4" t="s">
        <v>192</v>
      </c>
      <c r="G320" s="4" t="s">
        <v>193</v>
      </c>
      <c r="H320" s="4" t="s">
        <v>32</v>
      </c>
      <c r="I320" s="4" t="s">
        <v>32</v>
      </c>
      <c r="J320" s="4" t="s">
        <v>1140</v>
      </c>
    </row>
    <row r="321" spans="1:11" ht="22.5" customHeight="1">
      <c r="A321" s="3">
        <v>46166.875037106482</v>
      </c>
      <c r="B321" s="4" t="s">
        <v>1141</v>
      </c>
      <c r="C321" s="4" t="s">
        <v>1139</v>
      </c>
      <c r="D321" s="5" t="s">
        <v>23</v>
      </c>
      <c r="E321" s="4" t="s">
        <v>14</v>
      </c>
      <c r="F321" s="4" t="s">
        <v>192</v>
      </c>
      <c r="G321" s="4" t="s">
        <v>1142</v>
      </c>
      <c r="H321" s="4" t="s">
        <v>1143</v>
      </c>
      <c r="I321" s="4">
        <v>280040</v>
      </c>
      <c r="J321" s="4" t="s">
        <v>1140</v>
      </c>
    </row>
    <row r="322" spans="1:11" ht="22.5" customHeight="1">
      <c r="A322" s="3">
        <v>46166.876763217588</v>
      </c>
      <c r="B322" s="4" t="s">
        <v>1144</v>
      </c>
      <c r="C322" s="4" t="s">
        <v>1139</v>
      </c>
      <c r="D322" s="5" t="s">
        <v>23</v>
      </c>
      <c r="E322" s="4" t="s">
        <v>14</v>
      </c>
      <c r="F322" s="4" t="s">
        <v>192</v>
      </c>
      <c r="G322" s="4" t="s">
        <v>1142</v>
      </c>
      <c r="H322" s="4" t="s">
        <v>1143</v>
      </c>
      <c r="I322" s="4">
        <v>283516</v>
      </c>
      <c r="J322" s="4" t="s">
        <v>1140</v>
      </c>
    </row>
    <row r="323" spans="1:11" ht="22.5" customHeight="1">
      <c r="A323" s="3">
        <v>46166.877659293983</v>
      </c>
      <c r="B323" s="4" t="s">
        <v>1145</v>
      </c>
      <c r="C323" s="4" t="s">
        <v>1139</v>
      </c>
      <c r="D323" s="5" t="s">
        <v>23</v>
      </c>
      <c r="E323" s="4" t="s">
        <v>14</v>
      </c>
      <c r="F323" s="4" t="s">
        <v>192</v>
      </c>
      <c r="G323" s="4" t="s">
        <v>1142</v>
      </c>
      <c r="H323" s="4" t="s">
        <v>1143</v>
      </c>
      <c r="I323" s="4">
        <v>283611</v>
      </c>
      <c r="J323" s="4" t="s">
        <v>1140</v>
      </c>
    </row>
    <row r="324" spans="1:11" ht="22.5" customHeight="1">
      <c r="A324" s="3">
        <v>46166.878283182872</v>
      </c>
      <c r="B324" s="4" t="s">
        <v>1146</v>
      </c>
      <c r="C324" s="4" t="s">
        <v>1139</v>
      </c>
      <c r="D324" s="5" t="s">
        <v>23</v>
      </c>
      <c r="E324" s="4" t="s">
        <v>14</v>
      </c>
      <c r="F324" s="4" t="s">
        <v>192</v>
      </c>
      <c r="G324" s="4" t="s">
        <v>1147</v>
      </c>
      <c r="H324" s="4" t="s">
        <v>32</v>
      </c>
      <c r="I324" s="4" t="s">
        <v>32</v>
      </c>
      <c r="J324" s="4" t="s">
        <v>1140</v>
      </c>
    </row>
    <row r="325" spans="1:11" ht="22.5" customHeight="1">
      <c r="A325" s="3">
        <v>46166.879037175924</v>
      </c>
      <c r="B325" s="4" t="s">
        <v>1148</v>
      </c>
      <c r="C325" s="4" t="s">
        <v>1139</v>
      </c>
      <c r="D325" s="5" t="s">
        <v>23</v>
      </c>
      <c r="E325" s="4" t="s">
        <v>14</v>
      </c>
      <c r="F325" s="4" t="s">
        <v>192</v>
      </c>
      <c r="G325" s="4" t="s">
        <v>1149</v>
      </c>
      <c r="H325" s="4" t="s">
        <v>1150</v>
      </c>
      <c r="I325" s="4">
        <v>5210020</v>
      </c>
      <c r="J325" s="4" t="s">
        <v>1151</v>
      </c>
    </row>
    <row r="326" spans="1:11" ht="22.5" customHeight="1">
      <c r="A326" s="3">
        <v>46166.880627488426</v>
      </c>
      <c r="B326" s="4" t="s">
        <v>1152</v>
      </c>
      <c r="C326" s="4" t="s">
        <v>1139</v>
      </c>
      <c r="D326" s="5" t="s">
        <v>23</v>
      </c>
      <c r="E326" s="4" t="s">
        <v>14</v>
      </c>
      <c r="F326" s="4" t="s">
        <v>192</v>
      </c>
      <c r="G326" s="4" t="s">
        <v>1149</v>
      </c>
      <c r="H326" s="4" t="s">
        <v>1150</v>
      </c>
      <c r="I326" s="4">
        <v>5210009</v>
      </c>
      <c r="J326" s="4" t="s">
        <v>1151</v>
      </c>
    </row>
    <row r="327" spans="1:11" ht="22.5" customHeight="1">
      <c r="A327" s="11">
        <v>46168.377278842592</v>
      </c>
      <c r="B327" s="4" t="s">
        <v>1153</v>
      </c>
      <c r="C327" s="4" t="s">
        <v>1154</v>
      </c>
      <c r="D327" s="5" t="s">
        <v>1155</v>
      </c>
      <c r="E327" s="4" t="s">
        <v>14</v>
      </c>
      <c r="F327" s="4" t="s">
        <v>15</v>
      </c>
      <c r="G327" s="4" t="s">
        <v>1156</v>
      </c>
      <c r="I327" s="4" t="s">
        <v>1157</v>
      </c>
      <c r="J327" s="4" t="s">
        <v>1158</v>
      </c>
    </row>
    <row r="328" spans="1:11" ht="22.5" customHeight="1">
      <c r="A328" s="11">
        <v>46175.401581990736</v>
      </c>
      <c r="B328" s="4" t="s">
        <v>1159</v>
      </c>
      <c r="C328" s="4" t="s">
        <v>1160</v>
      </c>
      <c r="D328" s="5" t="s">
        <v>1161</v>
      </c>
      <c r="E328" s="4" t="s">
        <v>14</v>
      </c>
      <c r="F328" s="4" t="s">
        <v>15</v>
      </c>
      <c r="G328" s="4" t="s">
        <v>16</v>
      </c>
      <c r="H328" s="4" t="s">
        <v>17</v>
      </c>
      <c r="I328" s="4" t="s">
        <v>1162</v>
      </c>
      <c r="J328" s="4" t="s">
        <v>1163</v>
      </c>
      <c r="K328" s="6" t="s">
        <v>1164</v>
      </c>
    </row>
    <row r="329" spans="1:11" ht="22.5" customHeight="1">
      <c r="A329" s="11">
        <v>46175.413588414347</v>
      </c>
      <c r="B329" s="4" t="s">
        <v>1165</v>
      </c>
      <c r="C329" s="4" t="s">
        <v>1166</v>
      </c>
      <c r="D329" s="5" t="s">
        <v>1167</v>
      </c>
      <c r="E329" s="4" t="s">
        <v>14</v>
      </c>
      <c r="F329" s="4" t="s">
        <v>15</v>
      </c>
      <c r="G329" s="4" t="s">
        <v>102</v>
      </c>
      <c r="H329" s="4" t="s">
        <v>17</v>
      </c>
      <c r="I329" s="4" t="s">
        <v>1168</v>
      </c>
      <c r="J329" s="4" t="s">
        <v>1169</v>
      </c>
    </row>
    <row r="330" spans="1:11" ht="22.5" customHeight="1">
      <c r="A330" s="11">
        <v>46181.533626666671</v>
      </c>
      <c r="B330" s="4" t="s">
        <v>1170</v>
      </c>
      <c r="C330" s="4" t="s">
        <v>1171</v>
      </c>
      <c r="D330" s="4" t="s">
        <v>1172</v>
      </c>
      <c r="E330" s="4" t="s">
        <v>14</v>
      </c>
      <c r="F330" s="4" t="s">
        <v>15</v>
      </c>
      <c r="G330" s="4" t="s">
        <v>25</v>
      </c>
      <c r="H330" s="4" t="s">
        <v>1173</v>
      </c>
      <c r="I330" s="4" t="s">
        <v>1174</v>
      </c>
      <c r="J330" s="4" t="s">
        <v>1175</v>
      </c>
    </row>
    <row r="331" spans="1:11" ht="22.5" customHeight="1">
      <c r="A331" s="11">
        <v>46181.5855734375</v>
      </c>
      <c r="B331" s="4" t="s">
        <v>1176</v>
      </c>
      <c r="C331" s="4" t="s">
        <v>1171</v>
      </c>
      <c r="D331" s="4" t="s">
        <v>1172</v>
      </c>
      <c r="E331" s="4" t="s">
        <v>14</v>
      </c>
      <c r="F331" s="4" t="s">
        <v>15</v>
      </c>
      <c r="G331" s="4" t="s">
        <v>25</v>
      </c>
      <c r="H331" s="4" t="s">
        <v>1173</v>
      </c>
      <c r="I331" s="4" t="s">
        <v>32</v>
      </c>
      <c r="J331" s="4" t="s">
        <v>1091</v>
      </c>
    </row>
    <row r="332" spans="1:11" ht="22.5" customHeight="1">
      <c r="A332" s="11">
        <v>46182.415952581017</v>
      </c>
      <c r="B332" s="4" t="s">
        <v>1177</v>
      </c>
      <c r="C332" s="12" t="s">
        <v>1178</v>
      </c>
      <c r="D332" s="5" t="s">
        <v>1179</v>
      </c>
      <c r="E332" s="4" t="s">
        <v>14</v>
      </c>
      <c r="F332" s="4" t="s">
        <v>70</v>
      </c>
      <c r="G332" s="4" t="s">
        <v>32</v>
      </c>
      <c r="H332" s="4" t="s">
        <v>32</v>
      </c>
      <c r="I332" s="4" t="s">
        <v>32</v>
      </c>
      <c r="J332" s="4" t="s">
        <v>1180</v>
      </c>
    </row>
    <row r="333" spans="1:11" ht="22.5" customHeight="1">
      <c r="A333" s="11">
        <v>46182.423205405095</v>
      </c>
      <c r="B333" s="4" t="s">
        <v>1181</v>
      </c>
      <c r="C333" s="4" t="s">
        <v>1182</v>
      </c>
      <c r="D333" s="5" t="s">
        <v>1183</v>
      </c>
      <c r="E333" s="4" t="s">
        <v>14</v>
      </c>
      <c r="F333" s="4" t="s">
        <v>271</v>
      </c>
      <c r="G333" s="4" t="s">
        <v>1184</v>
      </c>
      <c r="H333" s="4" t="s">
        <v>32</v>
      </c>
      <c r="I333" s="4">
        <v>15255</v>
      </c>
      <c r="J333" s="4" t="s">
        <v>273</v>
      </c>
    </row>
    <row r="334" spans="1:11" ht="22.5" customHeight="1">
      <c r="A334" s="11">
        <v>46191.471011840273</v>
      </c>
      <c r="B334" s="4" t="s">
        <v>1185</v>
      </c>
      <c r="C334" s="4" t="s">
        <v>1186</v>
      </c>
      <c r="D334" s="5" t="s">
        <v>1187</v>
      </c>
      <c r="E334" s="4" t="s">
        <v>14</v>
      </c>
      <c r="F334" s="4" t="s">
        <v>15</v>
      </c>
      <c r="G334" s="4" t="s">
        <v>1188</v>
      </c>
      <c r="H334" s="4" t="s">
        <v>1189</v>
      </c>
      <c r="I334" s="4" t="s">
        <v>32</v>
      </c>
      <c r="J334" s="4" t="s">
        <v>1190</v>
      </c>
    </row>
    <row r="335" spans="1:11" ht="22.5" customHeight="1">
      <c r="A335" s="11">
        <v>46192.444406747687</v>
      </c>
      <c r="B335" s="4" t="s">
        <v>1191</v>
      </c>
      <c r="C335" s="4" t="s">
        <v>1192</v>
      </c>
      <c r="D335" s="4" t="s">
        <v>32</v>
      </c>
      <c r="E335" s="4" t="s">
        <v>14</v>
      </c>
      <c r="F335" s="4" t="s">
        <v>1109</v>
      </c>
      <c r="G335" s="4" t="s">
        <v>1110</v>
      </c>
      <c r="H335" s="4" t="s">
        <v>32</v>
      </c>
      <c r="I335" s="4" t="s">
        <v>32</v>
      </c>
      <c r="J335" s="4" t="s">
        <v>338</v>
      </c>
    </row>
    <row r="336" spans="1:11" ht="22.5" customHeight="1">
      <c r="A336" s="11">
        <v>46196.35018040509</v>
      </c>
      <c r="B336" s="4" t="s">
        <v>1193</v>
      </c>
      <c r="C336" s="4" t="s">
        <v>1194</v>
      </c>
      <c r="D336" s="5" t="s">
        <v>23</v>
      </c>
      <c r="E336" s="4" t="s">
        <v>14</v>
      </c>
      <c r="F336" s="4" t="s">
        <v>15</v>
      </c>
      <c r="G336" s="4" t="s">
        <v>1195</v>
      </c>
      <c r="H336" s="4" t="s">
        <v>1196</v>
      </c>
      <c r="I336" s="4">
        <v>140500234</v>
      </c>
      <c r="J336" s="4" t="s">
        <v>1091</v>
      </c>
    </row>
    <row r="337" spans="1:11" ht="22.5" customHeight="1">
      <c r="A337" s="11">
        <v>46196.351828379629</v>
      </c>
      <c r="B337" s="4" t="s">
        <v>1197</v>
      </c>
      <c r="C337" s="4" t="s">
        <v>1198</v>
      </c>
      <c r="D337" s="5" t="s">
        <v>23</v>
      </c>
      <c r="E337" s="4" t="s">
        <v>14</v>
      </c>
      <c r="F337" s="4" t="s">
        <v>15</v>
      </c>
      <c r="G337" s="4" t="s">
        <v>25</v>
      </c>
      <c r="H337" s="4" t="s">
        <v>26</v>
      </c>
      <c r="I337" s="4" t="s">
        <v>1199</v>
      </c>
      <c r="J337" s="4" t="s">
        <v>1091</v>
      </c>
    </row>
    <row r="338" spans="1:11" ht="22.5" customHeight="1">
      <c r="A338" s="11">
        <v>46196.538859490742</v>
      </c>
      <c r="B338" s="4" t="s">
        <v>1200</v>
      </c>
      <c r="C338" s="4" t="s">
        <v>1201</v>
      </c>
      <c r="D338" s="5" t="s">
        <v>1202</v>
      </c>
      <c r="E338" s="4" t="s">
        <v>14</v>
      </c>
      <c r="F338" s="4" t="s">
        <v>271</v>
      </c>
      <c r="G338" s="4" t="s">
        <v>64</v>
      </c>
      <c r="H338" s="4" t="s">
        <v>32</v>
      </c>
      <c r="I338" s="4">
        <v>22350</v>
      </c>
      <c r="J338" s="4" t="s">
        <v>273</v>
      </c>
    </row>
    <row r="339" spans="1:11" ht="22.5" customHeight="1">
      <c r="A339" s="11">
        <v>46198.630852638889</v>
      </c>
      <c r="B339" s="4" t="s">
        <v>1203</v>
      </c>
      <c r="C339" s="4" t="s">
        <v>1204</v>
      </c>
      <c r="D339" s="5" t="s">
        <v>1205</v>
      </c>
      <c r="E339" s="4" t="s">
        <v>14</v>
      </c>
      <c r="F339" s="4" t="s">
        <v>271</v>
      </c>
      <c r="G339" s="4" t="s">
        <v>1206</v>
      </c>
      <c r="H339" s="4" t="s">
        <v>32</v>
      </c>
      <c r="I339" s="4">
        <v>110235</v>
      </c>
      <c r="J339" s="4" t="s">
        <v>273</v>
      </c>
    </row>
    <row r="340" spans="1:11" ht="22.5" customHeight="1">
      <c r="A340" s="11">
        <v>46199.350145069446</v>
      </c>
      <c r="B340" s="4" t="s">
        <v>1207</v>
      </c>
      <c r="C340" s="4" t="s">
        <v>1208</v>
      </c>
      <c r="D340" s="5" t="s">
        <v>1209</v>
      </c>
      <c r="E340" s="4" t="s">
        <v>14</v>
      </c>
      <c r="F340" s="4" t="s">
        <v>15</v>
      </c>
      <c r="G340" s="4" t="s">
        <v>16</v>
      </c>
      <c r="H340" s="4" t="s">
        <v>17</v>
      </c>
      <c r="I340" s="4" t="s">
        <v>1210</v>
      </c>
      <c r="J340" s="4" t="s">
        <v>19</v>
      </c>
    </row>
    <row r="341" spans="1:11" ht="22.5" customHeight="1">
      <c r="A341" s="11">
        <v>46202.643137025458</v>
      </c>
      <c r="B341" s="4" t="s">
        <v>1211</v>
      </c>
      <c r="C341" s="4" t="s">
        <v>1212</v>
      </c>
      <c r="D341" s="5" t="s">
        <v>1213</v>
      </c>
      <c r="E341" s="4" t="s">
        <v>14</v>
      </c>
      <c r="F341" s="4" t="s">
        <v>70</v>
      </c>
      <c r="G341" s="4" t="s">
        <v>1214</v>
      </c>
      <c r="H341" s="4" t="s">
        <v>32</v>
      </c>
      <c r="I341" s="4" t="s">
        <v>32</v>
      </c>
      <c r="J341" s="4" t="s">
        <v>1215</v>
      </c>
    </row>
    <row r="342" spans="1:11" ht="22.5" customHeight="1">
      <c r="A342" s="11">
        <v>46203.434023414353</v>
      </c>
      <c r="B342" s="4" t="s">
        <v>1216</v>
      </c>
      <c r="C342" s="4" t="s">
        <v>1217</v>
      </c>
      <c r="D342" s="5" t="s">
        <v>1218</v>
      </c>
      <c r="E342" s="4" t="s">
        <v>14</v>
      </c>
      <c r="F342" s="4" t="s">
        <v>15</v>
      </c>
      <c r="G342" s="4" t="s">
        <v>16</v>
      </c>
      <c r="H342" s="4" t="s">
        <v>932</v>
      </c>
      <c r="I342" s="4" t="s">
        <v>1219</v>
      </c>
      <c r="J342" s="4" t="s">
        <v>1220</v>
      </c>
    </row>
    <row r="343" spans="1:11" ht="22.5" customHeight="1">
      <c r="A343" s="11">
        <v>46205.405582708336</v>
      </c>
      <c r="B343" s="4" t="s">
        <v>1221</v>
      </c>
      <c r="C343" s="4" t="s">
        <v>1222</v>
      </c>
      <c r="D343" s="5" t="s">
        <v>1223</v>
      </c>
      <c r="E343" s="4" t="s">
        <v>14</v>
      </c>
      <c r="F343" s="4" t="s">
        <v>271</v>
      </c>
      <c r="G343" s="4" t="s">
        <v>64</v>
      </c>
      <c r="H343" s="4" t="s">
        <v>32</v>
      </c>
      <c r="I343" s="4">
        <v>21438</v>
      </c>
      <c r="J343" s="4" t="s">
        <v>1224</v>
      </c>
    </row>
    <row r="344" spans="1:11" ht="22.5" customHeight="1">
      <c r="A344" s="11">
        <v>46205.471150752317</v>
      </c>
      <c r="B344" s="4" t="s">
        <v>1225</v>
      </c>
      <c r="C344" s="4" t="s">
        <v>1226</v>
      </c>
      <c r="D344" s="5" t="s">
        <v>1213</v>
      </c>
      <c r="E344" s="4" t="s">
        <v>14</v>
      </c>
      <c r="F344" s="4" t="s">
        <v>70</v>
      </c>
      <c r="G344" s="4" t="s">
        <v>1227</v>
      </c>
      <c r="H344" s="4" t="s">
        <v>32</v>
      </c>
      <c r="I344" s="4">
        <v>170173</v>
      </c>
      <c r="J344" s="4" t="s">
        <v>75</v>
      </c>
    </row>
    <row r="345" spans="1:11" ht="22.5" customHeight="1">
      <c r="A345" s="11">
        <v>46205.482624027776</v>
      </c>
      <c r="B345" s="4" t="s">
        <v>1228</v>
      </c>
      <c r="C345" s="4" t="s">
        <v>1229</v>
      </c>
      <c r="D345" s="5" t="s">
        <v>1230</v>
      </c>
      <c r="E345" s="4" t="s">
        <v>14</v>
      </c>
      <c r="F345" s="4" t="s">
        <v>15</v>
      </c>
      <c r="G345" s="4" t="s">
        <v>679</v>
      </c>
      <c r="H345" s="4" t="s">
        <v>680</v>
      </c>
      <c r="I345" s="4" t="s">
        <v>1231</v>
      </c>
      <c r="J345" s="4" t="s">
        <v>1232</v>
      </c>
    </row>
    <row r="346" spans="1:11" ht="22.5" customHeight="1">
      <c r="A346" s="11">
        <v>46209.503008148153</v>
      </c>
      <c r="B346" s="4" t="s">
        <v>1233</v>
      </c>
      <c r="C346" s="4" t="s">
        <v>1234</v>
      </c>
      <c r="D346" s="5" t="s">
        <v>217</v>
      </c>
      <c r="E346" s="4" t="s">
        <v>14</v>
      </c>
      <c r="F346" s="4" t="s">
        <v>15</v>
      </c>
      <c r="G346" s="4" t="s">
        <v>230</v>
      </c>
      <c r="H346" s="4" t="s">
        <v>1235</v>
      </c>
      <c r="I346" s="4" t="s">
        <v>1236</v>
      </c>
      <c r="J346" s="4" t="s">
        <v>329</v>
      </c>
      <c r="K346" s="6" t="s">
        <v>1237</v>
      </c>
    </row>
    <row r="347" spans="1:11" ht="22.5" customHeight="1">
      <c r="A347" s="11">
        <v>46209.504879490742</v>
      </c>
      <c r="B347" s="4" t="s">
        <v>1238</v>
      </c>
      <c r="C347" s="4" t="s">
        <v>1234</v>
      </c>
      <c r="D347" s="5" t="s">
        <v>217</v>
      </c>
      <c r="E347" s="4" t="s">
        <v>14</v>
      </c>
      <c r="F347" s="4" t="s">
        <v>15</v>
      </c>
      <c r="G347" s="4" t="s">
        <v>230</v>
      </c>
      <c r="H347" s="4" t="s">
        <v>1235</v>
      </c>
      <c r="I347" s="4" t="s">
        <v>1239</v>
      </c>
      <c r="J347" s="4" t="s">
        <v>329</v>
      </c>
      <c r="K347" s="6" t="s">
        <v>1240</v>
      </c>
    </row>
    <row r="348" spans="1:11" ht="22.5" customHeight="1">
      <c r="A348" s="11">
        <v>46209.560844780091</v>
      </c>
      <c r="B348" s="4" t="s">
        <v>1241</v>
      </c>
      <c r="C348" s="4" t="s">
        <v>1242</v>
      </c>
      <c r="D348" s="5" t="s">
        <v>1243</v>
      </c>
      <c r="E348" s="4" t="s">
        <v>14</v>
      </c>
      <c r="F348" s="4" t="s">
        <v>15</v>
      </c>
      <c r="G348" s="4" t="s">
        <v>102</v>
      </c>
      <c r="H348" s="4" t="s">
        <v>408</v>
      </c>
      <c r="I348" s="4" t="s">
        <v>1244</v>
      </c>
      <c r="J348" s="4" t="s">
        <v>163</v>
      </c>
    </row>
    <row r="349" spans="1:11" ht="22.5" customHeight="1">
      <c r="A349" s="11">
        <v>46210.489208449071</v>
      </c>
      <c r="B349" s="4" t="s">
        <v>1245</v>
      </c>
      <c r="C349" s="4" t="s">
        <v>1246</v>
      </c>
      <c r="D349" s="5" t="s">
        <v>1247</v>
      </c>
      <c r="E349" s="4" t="s">
        <v>14</v>
      </c>
      <c r="F349" s="4" t="s">
        <v>271</v>
      </c>
      <c r="G349" s="4" t="s">
        <v>64</v>
      </c>
      <c r="H349" s="4" t="s">
        <v>32</v>
      </c>
      <c r="I349" s="4">
        <v>24437</v>
      </c>
      <c r="J349" s="4" t="s">
        <v>273</v>
      </c>
    </row>
    <row r="350" spans="1:11" ht="22.5" customHeight="1">
      <c r="A350" s="11">
        <v>46211.493555023146</v>
      </c>
      <c r="B350" s="4" t="s">
        <v>1248</v>
      </c>
      <c r="C350" s="4" t="s">
        <v>1249</v>
      </c>
      <c r="D350" s="5" t="s">
        <v>1250</v>
      </c>
      <c r="E350" s="4" t="s">
        <v>14</v>
      </c>
      <c r="F350" s="4" t="s">
        <v>15</v>
      </c>
      <c r="G350" s="4" t="s">
        <v>1251</v>
      </c>
      <c r="H350" s="4" t="s">
        <v>1173</v>
      </c>
      <c r="I350" s="4" t="s">
        <v>1252</v>
      </c>
      <c r="J350" s="4" t="s">
        <v>1253</v>
      </c>
    </row>
    <row r="351" spans="1:11" ht="22.5" customHeight="1">
      <c r="A351" s="11">
        <v>46211.494509421296</v>
      </c>
      <c r="B351" s="4" t="s">
        <v>1248</v>
      </c>
      <c r="C351" s="4" t="s">
        <v>1249</v>
      </c>
      <c r="D351" s="5" t="s">
        <v>1250</v>
      </c>
      <c r="E351" s="4" t="s">
        <v>14</v>
      </c>
      <c r="F351" s="4" t="s">
        <v>15</v>
      </c>
      <c r="G351" s="4" t="s">
        <v>1254</v>
      </c>
      <c r="H351" s="4" t="s">
        <v>1173</v>
      </c>
      <c r="I351" s="4" t="s">
        <v>1255</v>
      </c>
      <c r="J351" s="4" t="s">
        <v>1256</v>
      </c>
    </row>
    <row r="352" spans="1:11" ht="22.5" customHeight="1">
      <c r="A352" s="11">
        <v>46213.438691226853</v>
      </c>
      <c r="B352" s="4" t="s">
        <v>1257</v>
      </c>
      <c r="C352" s="4" t="s">
        <v>1258</v>
      </c>
      <c r="D352" s="5" t="s">
        <v>1259</v>
      </c>
      <c r="E352" s="4" t="s">
        <v>14</v>
      </c>
      <c r="F352" s="4" t="s">
        <v>52</v>
      </c>
      <c r="G352" s="4" t="s">
        <v>507</v>
      </c>
      <c r="H352" s="4" t="s">
        <v>805</v>
      </c>
      <c r="I352" s="4" t="s">
        <v>1260</v>
      </c>
      <c r="J352" s="4" t="s">
        <v>510</v>
      </c>
    </row>
    <row r="353" spans="1:11" ht="22.5" customHeight="1">
      <c r="A353" s="11">
        <v>46216.377308124996</v>
      </c>
      <c r="B353" s="4" t="s">
        <v>1261</v>
      </c>
      <c r="C353" s="4" t="s">
        <v>1262</v>
      </c>
      <c r="D353" s="5" t="s">
        <v>1263</v>
      </c>
      <c r="E353" s="4" t="s">
        <v>14</v>
      </c>
      <c r="F353" s="4" t="s">
        <v>15</v>
      </c>
      <c r="G353" s="4" t="s">
        <v>1264</v>
      </c>
      <c r="H353" s="4" t="s">
        <v>1265</v>
      </c>
      <c r="I353" s="4" t="s">
        <v>1266</v>
      </c>
      <c r="J353" s="4" t="s">
        <v>1267</v>
      </c>
      <c r="K353" s="6" t="s">
        <v>1268</v>
      </c>
    </row>
    <row r="354" spans="1:11" ht="22.5" customHeight="1">
      <c r="A354" s="11">
        <v>46217.36144847222</v>
      </c>
      <c r="B354" s="4" t="s">
        <v>1269</v>
      </c>
      <c r="C354" s="4" t="s">
        <v>1270</v>
      </c>
      <c r="D354" s="5" t="s">
        <v>1271</v>
      </c>
      <c r="E354" s="4" t="s">
        <v>14</v>
      </c>
      <c r="F354" s="4" t="s">
        <v>63</v>
      </c>
      <c r="G354" s="4" t="s">
        <v>272</v>
      </c>
      <c r="H354" s="4" t="s">
        <v>32</v>
      </c>
      <c r="I354" s="4" t="s">
        <v>32</v>
      </c>
      <c r="J354" s="4" t="s">
        <v>65</v>
      </c>
    </row>
    <row r="355" spans="1:11" ht="22.5" customHeight="1">
      <c r="A355" s="11">
        <v>46217.475007962959</v>
      </c>
      <c r="B355" s="4" t="s">
        <v>1272</v>
      </c>
      <c r="C355" s="4" t="s">
        <v>1273</v>
      </c>
      <c r="D355" s="5" t="s">
        <v>1274</v>
      </c>
      <c r="E355" s="4" t="s">
        <v>14</v>
      </c>
      <c r="F355" s="4" t="s">
        <v>271</v>
      </c>
      <c r="G355" s="4" t="s">
        <v>874</v>
      </c>
      <c r="H355" s="4" t="s">
        <v>32</v>
      </c>
      <c r="I355" s="4" t="s">
        <v>1275</v>
      </c>
      <c r="J355" s="4" t="s">
        <v>1276</v>
      </c>
    </row>
    <row r="356" spans="1:11" ht="22.5" customHeight="1">
      <c r="A356" s="11">
        <v>46217.489657662038</v>
      </c>
      <c r="B356" s="4" t="s">
        <v>1277</v>
      </c>
      <c r="C356" s="4" t="s">
        <v>1278</v>
      </c>
      <c r="D356" s="5" t="s">
        <v>1279</v>
      </c>
      <c r="E356" s="4" t="s">
        <v>14</v>
      </c>
      <c r="F356" s="4" t="s">
        <v>15</v>
      </c>
      <c r="G356" s="4" t="s">
        <v>102</v>
      </c>
      <c r="H356" s="4" t="s">
        <v>17</v>
      </c>
      <c r="I356" s="4" t="s">
        <v>1280</v>
      </c>
      <c r="J356" s="4" t="s">
        <v>1281</v>
      </c>
      <c r="K356" s="4" t="s">
        <v>1282</v>
      </c>
    </row>
    <row r="357" spans="1:11" ht="22.5" customHeight="1">
      <c r="A357" s="11">
        <v>46218.488700775459</v>
      </c>
      <c r="B357" s="4" t="s">
        <v>1283</v>
      </c>
      <c r="C357" s="4" t="s">
        <v>1284</v>
      </c>
      <c r="D357" s="5" t="s">
        <v>1285</v>
      </c>
      <c r="E357" s="4" t="s">
        <v>14</v>
      </c>
      <c r="F357" s="4" t="s">
        <v>271</v>
      </c>
      <c r="G357" s="4" t="s">
        <v>874</v>
      </c>
      <c r="H357" s="4" t="s">
        <v>32</v>
      </c>
      <c r="I357" s="4" t="s">
        <v>1286</v>
      </c>
      <c r="J357" s="4" t="s">
        <v>1276</v>
      </c>
    </row>
    <row r="358" spans="1:11" ht="22.5" customHeight="1">
      <c r="A358" s="11">
        <v>46219.361377569439</v>
      </c>
      <c r="B358" s="4" t="s">
        <v>1287</v>
      </c>
      <c r="C358" s="4" t="s">
        <v>1288</v>
      </c>
      <c r="D358" s="5" t="s">
        <v>1289</v>
      </c>
      <c r="E358" s="4" t="s">
        <v>14</v>
      </c>
      <c r="F358" s="4" t="s">
        <v>15</v>
      </c>
      <c r="G358" s="4" t="s">
        <v>16</v>
      </c>
      <c r="H358" s="4" t="s">
        <v>17</v>
      </c>
      <c r="I358" s="4" t="s">
        <v>1290</v>
      </c>
      <c r="J358" s="4" t="s">
        <v>19</v>
      </c>
    </row>
    <row r="359" spans="1:11" ht="22.5" customHeight="1">
      <c r="A359" s="11">
        <v>46219.374802118051</v>
      </c>
      <c r="B359" s="4" t="s">
        <v>1291</v>
      </c>
      <c r="C359" s="4" t="s">
        <v>850</v>
      </c>
      <c r="D359" s="4">
        <v>0</v>
      </c>
      <c r="E359" s="4" t="s">
        <v>14</v>
      </c>
      <c r="F359" s="4" t="s">
        <v>52</v>
      </c>
      <c r="G359" s="4" t="s">
        <v>1292</v>
      </c>
      <c r="H359" s="4" t="s">
        <v>441</v>
      </c>
      <c r="I359" s="4" t="s">
        <v>1293</v>
      </c>
      <c r="J359" s="4" t="s">
        <v>443</v>
      </c>
    </row>
    <row r="360" spans="1:11" ht="22.5" customHeight="1">
      <c r="A360" s="11">
        <v>46219.460065069448</v>
      </c>
      <c r="B360" s="4" t="s">
        <v>1269</v>
      </c>
      <c r="C360" s="4" t="s">
        <v>1294</v>
      </c>
      <c r="D360" s="5" t="s">
        <v>1271</v>
      </c>
      <c r="E360" s="4" t="s">
        <v>14</v>
      </c>
      <c r="F360" s="4" t="s">
        <v>63</v>
      </c>
      <c r="G360" s="4" t="s">
        <v>32</v>
      </c>
      <c r="H360" s="4" t="s">
        <v>32</v>
      </c>
      <c r="I360" s="4" t="s">
        <v>32</v>
      </c>
      <c r="J360" s="4" t="s">
        <v>65</v>
      </c>
    </row>
    <row r="361" spans="1:11" ht="22.5" customHeight="1">
      <c r="A361" s="11">
        <v>46219.461426504626</v>
      </c>
      <c r="B361" s="4" t="s">
        <v>1295</v>
      </c>
      <c r="C361" s="4" t="s">
        <v>1296</v>
      </c>
      <c r="D361" s="5" t="s">
        <v>1297</v>
      </c>
      <c r="E361" s="4" t="s">
        <v>14</v>
      </c>
      <c r="F361" s="4" t="s">
        <v>63</v>
      </c>
      <c r="G361" s="4" t="s">
        <v>1227</v>
      </c>
      <c r="H361" s="4" t="s">
        <v>32</v>
      </c>
      <c r="I361" s="4" t="s">
        <v>32</v>
      </c>
      <c r="J361" s="4" t="s">
        <v>1298</v>
      </c>
    </row>
    <row r="362" spans="1:11" ht="22.5" customHeight="1">
      <c r="A362" s="11">
        <v>46223.535123321759</v>
      </c>
      <c r="B362" s="4" t="s">
        <v>1299</v>
      </c>
      <c r="C362" s="4" t="s">
        <v>1300</v>
      </c>
      <c r="D362" s="5" t="s">
        <v>1301</v>
      </c>
      <c r="E362" s="4" t="s">
        <v>14</v>
      </c>
      <c r="F362" s="4" t="s">
        <v>70</v>
      </c>
      <c r="G362" s="4" t="s">
        <v>1302</v>
      </c>
      <c r="H362" s="4" t="s">
        <v>32</v>
      </c>
      <c r="I362" s="4" t="s">
        <v>1303</v>
      </c>
      <c r="J362" s="4" t="s">
        <v>75</v>
      </c>
    </row>
    <row r="363" spans="1:11" ht="22.5" customHeight="1">
      <c r="A363" s="11">
        <v>46223.61909443287</v>
      </c>
      <c r="B363" s="4" t="s">
        <v>1304</v>
      </c>
      <c r="C363" s="4" t="s">
        <v>1305</v>
      </c>
      <c r="D363" s="5" t="s">
        <v>1306</v>
      </c>
      <c r="E363" s="4" t="s">
        <v>14</v>
      </c>
      <c r="F363" s="4" t="s">
        <v>15</v>
      </c>
      <c r="G363" s="4" t="s">
        <v>16</v>
      </c>
      <c r="H363" s="4" t="s">
        <v>836</v>
      </c>
      <c r="I363" s="4" t="s">
        <v>1307</v>
      </c>
      <c r="J363" s="4" t="s">
        <v>1281</v>
      </c>
    </row>
    <row r="365" spans="1:11" ht="12.75">
      <c r="A365" s="13"/>
    </row>
    <row r="366" spans="1:11" ht="12.75">
      <c r="A366" s="13"/>
    </row>
    <row r="367" spans="1:11" ht="12.75">
      <c r="A367" s="13"/>
    </row>
    <row r="368" spans="1:11" ht="12.75">
      <c r="A368" s="13"/>
    </row>
    <row r="369" spans="1:1" ht="12.75">
      <c r="A369" s="13"/>
    </row>
    <row r="370" spans="1:1" ht="12.75">
      <c r="A370" s="13"/>
    </row>
    <row r="371" spans="1:1" ht="12.75">
      <c r="A371" s="13"/>
    </row>
    <row r="372" spans="1:1" ht="12.75">
      <c r="A372" s="13"/>
    </row>
    <row r="373" spans="1:1" ht="12.75">
      <c r="A373" s="13"/>
    </row>
    <row r="374" spans="1:1" ht="12.75">
      <c r="A374" s="13"/>
    </row>
    <row r="375" spans="1:1" ht="12.75">
      <c r="A375" s="13"/>
    </row>
    <row r="376" spans="1:1" ht="12.75">
      <c r="A376" s="13"/>
    </row>
    <row r="377" spans="1:1" ht="12.75">
      <c r="A377" s="13"/>
    </row>
    <row r="378" spans="1:1" ht="12.75">
      <c r="A378" s="13"/>
    </row>
    <row r="379" spans="1:1" ht="12.75">
      <c r="A379" s="13"/>
    </row>
    <row r="380" spans="1:1" ht="12.75">
      <c r="A380" s="13"/>
    </row>
  </sheetData>
  <dataValidations count="1">
    <dataValidation type="custom" allowBlank="1" showDropDown="1" sqref="A2:A363">
      <formula1>OR(NOT(ISERROR(DATEVALUE(A2))), AND(ISNUMBER(A2), LEFT(CELL("format", A2))="D"))</formula1>
    </dataValidation>
  </dataValidations>
  <hyperlinks>
    <hyperlink ref="K2" r:id="rId1"/>
    <hyperlink ref="K10" r:id="rId2"/>
    <hyperlink ref="K11" r:id="rId3"/>
    <hyperlink ref="K19" r:id="rId4"/>
    <hyperlink ref="K20" r:id="rId5"/>
    <hyperlink ref="K21" r:id="rId6"/>
    <hyperlink ref="K23" r:id="rId7"/>
    <hyperlink ref="K32" r:id="rId8"/>
    <hyperlink ref="K33" r:id="rId9"/>
    <hyperlink ref="K34" r:id="rId10"/>
    <hyperlink ref="K35" r:id="rId11"/>
    <hyperlink ref="K36" r:id="rId12"/>
    <hyperlink ref="K37" r:id="rId13"/>
    <hyperlink ref="K38" r:id="rId14"/>
    <hyperlink ref="K39" r:id="rId15"/>
    <hyperlink ref="K40" r:id="rId16"/>
    <hyperlink ref="K41" r:id="rId17"/>
    <hyperlink ref="K42" r:id="rId18"/>
    <hyperlink ref="K43" r:id="rId19"/>
    <hyperlink ref="K63" r:id="rId20"/>
    <hyperlink ref="K64" r:id="rId21"/>
    <hyperlink ref="K65" r:id="rId22"/>
    <hyperlink ref="K66" r:id="rId23"/>
    <hyperlink ref="K74" r:id="rId24"/>
    <hyperlink ref="K97" r:id="rId25"/>
    <hyperlink ref="K98" r:id="rId26"/>
    <hyperlink ref="K99" r:id="rId27"/>
    <hyperlink ref="K100" r:id="rId28"/>
    <hyperlink ref="K101" r:id="rId29"/>
    <hyperlink ref="K102" r:id="rId30"/>
    <hyperlink ref="K112" r:id="rId31"/>
    <hyperlink ref="K113" r:id="rId32"/>
    <hyperlink ref="K114" r:id="rId33"/>
    <hyperlink ref="K123" r:id="rId34"/>
    <hyperlink ref="K124" r:id="rId35"/>
    <hyperlink ref="K168" r:id="rId36"/>
    <hyperlink ref="K169" r:id="rId37"/>
    <hyperlink ref="K170" r:id="rId38"/>
    <hyperlink ref="K173" r:id="rId39"/>
    <hyperlink ref="K193" r:id="rId40"/>
    <hyperlink ref="K194" r:id="rId41"/>
    <hyperlink ref="K199" r:id="rId42"/>
    <hyperlink ref="K210" r:id="rId43"/>
    <hyperlink ref="K227" r:id="rId44"/>
    <hyperlink ref="K231" r:id="rId45"/>
    <hyperlink ref="K261" r:id="rId46"/>
    <hyperlink ref="K292" r:id="rId47"/>
    <hyperlink ref="K295" r:id="rId48"/>
    <hyperlink ref="K297" r:id="rId49"/>
    <hyperlink ref="K328" r:id="rId50"/>
    <hyperlink ref="K346" r:id="rId51"/>
    <hyperlink ref="K347" r:id="rId52"/>
    <hyperlink ref="K353" r:id="rId53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54"/>
    <tablePart r:id="rId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66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6.42578125" customWidth="1"/>
    <col min="2" max="2" width="26.85546875" customWidth="1"/>
    <col min="4" max="4" width="25.28515625" customWidth="1"/>
    <col min="5" max="5" width="31.28515625" customWidth="1"/>
    <col min="6" max="6" width="18.5703125" customWidth="1"/>
    <col min="10" max="10" width="16.140625" customWidth="1"/>
    <col min="11" max="11" width="14.85546875" customWidth="1"/>
    <col min="12" max="12" width="23.42578125" customWidth="1"/>
  </cols>
  <sheetData>
    <row r="1" spans="1:13">
      <c r="A1" s="14" t="s">
        <v>1308</v>
      </c>
      <c r="B1" s="44" t="s">
        <v>1309</v>
      </c>
      <c r="C1" s="45"/>
      <c r="D1" s="15" t="s">
        <v>1310</v>
      </c>
      <c r="E1" s="15" t="s">
        <v>2</v>
      </c>
      <c r="F1" s="14" t="s">
        <v>5</v>
      </c>
      <c r="G1" s="16" t="s">
        <v>1311</v>
      </c>
      <c r="H1" s="44" t="s">
        <v>1312</v>
      </c>
      <c r="I1" s="46"/>
      <c r="J1" s="45"/>
      <c r="K1" s="16" t="s">
        <v>1313</v>
      </c>
      <c r="L1" s="14" t="s">
        <v>1314</v>
      </c>
      <c r="M1" s="16" t="s">
        <v>1315</v>
      </c>
    </row>
    <row r="2" spans="1:13">
      <c r="A2" s="17"/>
      <c r="B2" s="18" t="s">
        <v>1316</v>
      </c>
      <c r="C2" s="18" t="s">
        <v>1317</v>
      </c>
      <c r="D2" s="19"/>
      <c r="E2" s="19"/>
      <c r="F2" s="20"/>
      <c r="G2" s="17"/>
      <c r="H2" s="18" t="s">
        <v>1318</v>
      </c>
      <c r="I2" s="18" t="s">
        <v>1319</v>
      </c>
      <c r="J2" s="18" t="s">
        <v>1320</v>
      </c>
      <c r="K2" s="17"/>
      <c r="L2" s="20"/>
      <c r="M2" s="17"/>
    </row>
    <row r="3" spans="1:13" ht="38.25">
      <c r="A3" s="21">
        <v>1</v>
      </c>
      <c r="B3" s="22" t="s">
        <v>1321</v>
      </c>
      <c r="C3" s="23">
        <v>46028</v>
      </c>
      <c r="D3" s="24" t="s">
        <v>11</v>
      </c>
      <c r="E3" s="25" t="str">
        <f>VLOOKUP(D3,'Form Responses 1'!B:J,2,FALSE)</f>
        <v>Jl. Kutoarjo KM 2, Jatisari, Kecamatan Kebumen, Kabupaten Kebumen</v>
      </c>
      <c r="F3" s="26" t="str">
        <f>VLOOKUP(D3,'Form Responses 1'!B:J,5,FALSE)</f>
        <v>Timbangan Elektronik</v>
      </c>
      <c r="G3" s="26" t="str">
        <f>VLOOKUP(D3,'Form Responses 1'!B:J,6,FALSE)</f>
        <v>ACIS</v>
      </c>
      <c r="H3" s="26" t="str">
        <f>VLOOKUP(D3,'Form Responses 1'!B:J,7,FALSE)</f>
        <v>BC 500</v>
      </c>
      <c r="I3" s="26" t="str">
        <f>VLOOKUP(D3,'Form Responses 1'!B:J,8,FALSE)</f>
        <v>E241203145</v>
      </c>
      <c r="J3" s="26" t="str">
        <f>VLOOKUP(D3,'Form Responses 1'!B:J,9,FALSE)</f>
        <v>500 g / 0,1 g</v>
      </c>
      <c r="K3" s="27">
        <v>46028</v>
      </c>
      <c r="L3" s="21" t="s">
        <v>1322</v>
      </c>
      <c r="M3" s="28" t="b">
        <v>1</v>
      </c>
    </row>
    <row r="4" spans="1:13" ht="38.25">
      <c r="A4" s="21">
        <v>2</v>
      </c>
      <c r="B4" s="21" t="s">
        <v>1323</v>
      </c>
      <c r="C4" s="23">
        <v>46029</v>
      </c>
      <c r="D4" s="29" t="s">
        <v>21</v>
      </c>
      <c r="E4" s="25" t="str">
        <f>VLOOKUP(D4,'Form Responses 1'!B:J,2,FALSE)</f>
        <v>Jl. Raya Tembana Peniron No.1, Desa Karangpoh, Kecamatan Pejagoan, Kabupaten Kebumen</v>
      </c>
      <c r="F4" s="26" t="str">
        <f>VLOOKUP(D4,'Form Responses 1'!B:J,5,FALSE)</f>
        <v>Timbangan Elektronik</v>
      </c>
      <c r="G4" s="26" t="str">
        <f>VLOOKUP(D4,'Form Responses 1'!B:J,6,FALSE)</f>
        <v>SONIC</v>
      </c>
      <c r="H4" s="26" t="str">
        <f>VLOOKUP(D4,'Form Responses 1'!B:J,7,FALSE)</f>
        <v>A12E</v>
      </c>
      <c r="I4" s="26" t="str">
        <f>VLOOKUP(D4,'Form Responses 1'!B:J,8,FALSE)</f>
        <v>IMI23019437</v>
      </c>
      <c r="J4" s="26" t="str">
        <f>VLOOKUP(D4,'Form Responses 1'!B:J,9,FALSE)</f>
        <v xml:space="preserve">6000 kg / 1 kg </v>
      </c>
      <c r="K4" s="27">
        <v>46028</v>
      </c>
      <c r="L4" s="21" t="s">
        <v>1324</v>
      </c>
      <c r="M4" s="28" t="b">
        <v>1</v>
      </c>
    </row>
    <row r="5" spans="1:13" ht="38.25">
      <c r="A5" s="21">
        <v>3</v>
      </c>
      <c r="B5" s="21" t="s">
        <v>1325</v>
      </c>
      <c r="C5" s="23">
        <v>46029</v>
      </c>
      <c r="D5" s="29" t="s">
        <v>29</v>
      </c>
      <c r="E5" s="25" t="str">
        <f>VLOOKUP(D5,'Form Responses 1'!B:J,2,FALSE)</f>
        <v>Jl. Raya Tembana Peniron No.1, Desa Karangpoh, Kecamatan Pejagoan, Kabupaten Kebumen</v>
      </c>
      <c r="F5" s="26" t="str">
        <f>VLOOKUP(D5,'Form Responses 1'!B:J,5,FALSE)</f>
        <v>Timbangan Elektronik</v>
      </c>
      <c r="G5" s="26" t="str">
        <f>VLOOKUP(D5,'Form Responses 1'!B:J,6,FALSE)</f>
        <v>OMRON</v>
      </c>
      <c r="H5" s="26" t="str">
        <f>VLOOKUP(D5,'Form Responses 1'!B:J,7,FALSE)</f>
        <v>K3HB VLC</v>
      </c>
      <c r="I5" s="26" t="str">
        <f>VLOOKUP(D5,'Form Responses 1'!B:J,8,FALSE)</f>
        <v>-</v>
      </c>
      <c r="J5" s="26" t="str">
        <f>VLOOKUP(D5,'Form Responses 1'!B:J,9,FALSE)</f>
        <v xml:space="preserve">5000 kg / 1 kg </v>
      </c>
      <c r="K5" s="27">
        <v>46028</v>
      </c>
      <c r="L5" s="21" t="s">
        <v>1326</v>
      </c>
      <c r="M5" s="28" t="b">
        <v>1</v>
      </c>
    </row>
    <row r="6" spans="1:13" ht="38.25">
      <c r="A6" s="21"/>
      <c r="B6" s="21"/>
      <c r="C6" s="23"/>
      <c r="D6" s="29" t="s">
        <v>34</v>
      </c>
      <c r="E6" s="25" t="str">
        <f>VLOOKUP(D6,'Form Responses 1'!B:J,2,FALSE)</f>
        <v>Jl. Raya Tembana Peniron No.1, Desa Karangpoh, Kecamatan Pejagoan, Kabupaten Kebumen</v>
      </c>
      <c r="F6" s="26" t="str">
        <f>VLOOKUP(D6,'Form Responses 1'!B:J,5,FALSE)</f>
        <v>Timbangan Elektronik</v>
      </c>
      <c r="G6" s="26" t="str">
        <f>VLOOKUP(D6,'Form Responses 1'!B:J,6,FALSE)</f>
        <v>OMRON</v>
      </c>
      <c r="H6" s="26" t="str">
        <f>VLOOKUP(D6,'Form Responses 1'!B:J,7,FALSE)</f>
        <v xml:space="preserve">K3HB VLC </v>
      </c>
      <c r="I6" s="26" t="str">
        <f>VLOOKUP(D6,'Form Responses 1'!B:J,8,FALSE)</f>
        <v>-</v>
      </c>
      <c r="J6" s="26" t="str">
        <f>VLOOKUP(D6,'Form Responses 1'!B:J,9,FALSE)</f>
        <v xml:space="preserve">2000 kg / 1 kg </v>
      </c>
      <c r="K6" s="27"/>
      <c r="L6" s="21" t="s">
        <v>1326</v>
      </c>
      <c r="M6" s="28" t="b">
        <v>1</v>
      </c>
    </row>
    <row r="7" spans="1:13" ht="38.25">
      <c r="A7" s="21"/>
      <c r="B7" s="21"/>
      <c r="C7" s="23"/>
      <c r="D7" s="29" t="s">
        <v>37</v>
      </c>
      <c r="E7" s="25" t="str">
        <f>VLOOKUP(D7,'Form Responses 1'!B:J,2,FALSE)</f>
        <v>Jl. Raya Tembana Peniron No.1, Desa Karangpoh, Kecamatan Pejagoan, Kabupaten Kebumen</v>
      </c>
      <c r="F7" s="26" t="str">
        <f>VLOOKUP(D7,'Form Responses 1'!B:J,5,FALSE)</f>
        <v>Timbangan Elektronik</v>
      </c>
      <c r="G7" s="26" t="str">
        <f>VLOOKUP(D7,'Form Responses 1'!B:J,6,FALSE)</f>
        <v>OMRON</v>
      </c>
      <c r="H7" s="26" t="str">
        <f>VLOOKUP(D7,'Form Responses 1'!B:J,7,FALSE)</f>
        <v xml:space="preserve">K3HB VLC </v>
      </c>
      <c r="I7" s="26" t="str">
        <f>VLOOKUP(D7,'Form Responses 1'!B:J,8,FALSE)</f>
        <v>-</v>
      </c>
      <c r="J7" s="26" t="str">
        <f>VLOOKUP(D7,'Form Responses 1'!B:J,9,FALSE)</f>
        <v xml:space="preserve">2000 kg / 1 kg </v>
      </c>
      <c r="K7" s="27"/>
      <c r="L7" s="21" t="s">
        <v>1326</v>
      </c>
      <c r="M7" s="28" t="b">
        <v>1</v>
      </c>
    </row>
    <row r="8" spans="1:13" ht="38.25">
      <c r="A8" s="21">
        <v>4</v>
      </c>
      <c r="B8" s="21" t="s">
        <v>1327</v>
      </c>
      <c r="C8" s="23">
        <v>46029</v>
      </c>
      <c r="D8" s="29" t="s">
        <v>38</v>
      </c>
      <c r="E8" s="25" t="str">
        <f>VLOOKUP(D8,'Form Responses 1'!B:J,2,FALSE)</f>
        <v>Jl. Raya Tembana Peniron No.1, Desa Karangpoh, Kecamatan Pejagoan, Kabupaten Kebumen</v>
      </c>
      <c r="F8" s="26" t="str">
        <f>VLOOKUP(D8,'Form Responses 1'!B:J,5,FALSE)</f>
        <v>Timbangan Elektronik</v>
      </c>
      <c r="G8" s="26" t="str">
        <f>VLOOKUP(D8,'Form Responses 1'!B:J,6,FALSE)</f>
        <v>WEIGHING INDICATOR</v>
      </c>
      <c r="H8" s="26" t="str">
        <f>VLOOKUP(D8,'Form Responses 1'!B:J,7,FALSE)</f>
        <v>AC 9000</v>
      </c>
      <c r="I8" s="26" t="str">
        <f>VLOOKUP(D8,'Form Responses 1'!B:J,8,FALSE)</f>
        <v>-</v>
      </c>
      <c r="J8" s="26" t="str">
        <f>VLOOKUP(D8,'Form Responses 1'!B:J,9,FALSE)</f>
        <v xml:space="preserve">4000 kg / 2 kg </v>
      </c>
      <c r="K8" s="27">
        <v>46028</v>
      </c>
      <c r="L8" s="21" t="s">
        <v>1326</v>
      </c>
      <c r="M8" s="28" t="b">
        <v>1</v>
      </c>
    </row>
    <row r="9" spans="1:13" ht="38.25">
      <c r="A9" s="21"/>
      <c r="B9" s="21"/>
      <c r="C9" s="23"/>
      <c r="D9" s="29" t="s">
        <v>42</v>
      </c>
      <c r="E9" s="25" t="str">
        <f>VLOOKUP(D9,'Form Responses 1'!B:J,2,FALSE)</f>
        <v>Jl. Raya Tembana Peniron No.1, Desa Karangpoh, Kecamatan Pejagoan, Kabupaten Kebumen</v>
      </c>
      <c r="F9" s="26" t="str">
        <f>VLOOKUP(D9,'Form Responses 1'!B:J,5,FALSE)</f>
        <v>Timbangan Elektronik</v>
      </c>
      <c r="G9" s="26" t="str">
        <f>VLOOKUP(D9,'Form Responses 1'!B:J,6,FALSE)</f>
        <v xml:space="preserve">GREAT SCALE </v>
      </c>
      <c r="H9" s="26" t="str">
        <f>VLOOKUP(D9,'Form Responses 1'!B:J,7,FALSE)</f>
        <v>A12E</v>
      </c>
      <c r="I9" s="26" t="str">
        <f>VLOOKUP(D9,'Form Responses 1'!B:J,8,FALSE)</f>
        <v>IMIWH9-1909000758</v>
      </c>
      <c r="J9" s="26" t="str">
        <f>VLOOKUP(D9,'Form Responses 1'!B:J,9,FALSE)</f>
        <v xml:space="preserve">1000 kg / 1 kg </v>
      </c>
      <c r="K9" s="23"/>
      <c r="L9" s="21" t="s">
        <v>1326</v>
      </c>
      <c r="M9" s="28" t="b">
        <v>1</v>
      </c>
    </row>
    <row r="10" spans="1:13" ht="38.25">
      <c r="A10" s="21"/>
      <c r="B10" s="21"/>
      <c r="C10" s="23"/>
      <c r="D10" s="29" t="s">
        <v>46</v>
      </c>
      <c r="E10" s="25" t="str">
        <f>VLOOKUP(D10,'Form Responses 1'!B:J,2,FALSE)</f>
        <v>Jl. Raya Tembana Peniron No.1, Desa Karangpoh, Kecamatan Pejagoan, Kabupaten Kebumen</v>
      </c>
      <c r="F10" s="26" t="str">
        <f>VLOOKUP(D10,'Form Responses 1'!B:J,5,FALSE)</f>
        <v>Timbangan Elektronik</v>
      </c>
      <c r="G10" s="26" t="str">
        <f>VLOOKUP(D10,'Form Responses 1'!B:J,6,FALSE)</f>
        <v xml:space="preserve">GREAT SCALE </v>
      </c>
      <c r="H10" s="26" t="str">
        <f>VLOOKUP(D10,'Form Responses 1'!B:J,7,FALSE)</f>
        <v>A12E</v>
      </c>
      <c r="I10" s="26" t="str">
        <f>VLOOKUP(D10,'Form Responses 1'!B:J,8,FALSE)</f>
        <v>A12E2206008</v>
      </c>
      <c r="J10" s="26" t="str">
        <f>VLOOKUP(D10,'Form Responses 1'!B:J,9,FALSE)</f>
        <v xml:space="preserve">3000 kg / 0,5 kg </v>
      </c>
      <c r="K10" s="23"/>
      <c r="L10" s="21" t="s">
        <v>1326</v>
      </c>
      <c r="M10" s="28" t="b">
        <v>1</v>
      </c>
    </row>
    <row r="11" spans="1:13" ht="12.75">
      <c r="A11" s="21">
        <v>5</v>
      </c>
      <c r="B11" s="21" t="s">
        <v>1328</v>
      </c>
      <c r="C11" s="23">
        <v>46029</v>
      </c>
      <c r="D11" s="29" t="s">
        <v>61</v>
      </c>
      <c r="E11" s="25" t="str">
        <f>VLOOKUP(D11,'Form Responses 1'!B:J,2,FALSE)</f>
        <v>Jl. A. Yani No 23 Purworejo</v>
      </c>
      <c r="F11" s="26" t="str">
        <f>VLOOKUP(D11,'Form Responses 1'!B:J,5,FALSE)</f>
        <v>Dacin</v>
      </c>
      <c r="G11" s="26" t="str">
        <f>VLOOKUP(D11,'Form Responses 1'!B:J,6,FALSE)</f>
        <v>SNS</v>
      </c>
      <c r="H11" s="26" t="str">
        <f>VLOOKUP(D11,'Form Responses 1'!B:J,7,FALSE)</f>
        <v>-</v>
      </c>
      <c r="I11" s="26">
        <f>VLOOKUP(D11,'Form Responses 1'!B:J,8,FALSE)</f>
        <v>211006</v>
      </c>
      <c r="J11" s="26" t="str">
        <f>VLOOKUP(D11,'Form Responses 1'!B:J,9,FALSE)</f>
        <v>110 kg / 500 g</v>
      </c>
      <c r="K11" s="23">
        <v>46029</v>
      </c>
      <c r="L11" s="21" t="s">
        <v>1324</v>
      </c>
      <c r="M11" s="28" t="b">
        <v>1</v>
      </c>
    </row>
    <row r="12" spans="1:13" ht="12.75">
      <c r="A12" s="21"/>
      <c r="B12" s="21"/>
      <c r="C12" s="23"/>
      <c r="D12" s="29" t="s">
        <v>66</v>
      </c>
      <c r="E12" s="25" t="str">
        <f>VLOOKUP(D12,'Form Responses 1'!B:J,2,FALSE)</f>
        <v>Jl. A. Yani No 23 Purworejo</v>
      </c>
      <c r="F12" s="26" t="str">
        <f>VLOOKUP(D12,'Form Responses 1'!B:J,5,FALSE)</f>
        <v>Dacin</v>
      </c>
      <c r="G12" s="26" t="str">
        <f>VLOOKUP(D12,'Form Responses 1'!B:J,6,FALSE)</f>
        <v>SNS</v>
      </c>
      <c r="H12" s="26" t="str">
        <f>VLOOKUP(D12,'Form Responses 1'!B:J,7,FALSE)</f>
        <v>-</v>
      </c>
      <c r="I12" s="26">
        <f>VLOOKUP(D12,'Form Responses 1'!B:J,8,FALSE)</f>
        <v>211081</v>
      </c>
      <c r="J12" s="26" t="str">
        <f>VLOOKUP(D12,'Form Responses 1'!B:J,9,FALSE)</f>
        <v>110 kg / 500 g</v>
      </c>
      <c r="K12" s="23"/>
      <c r="L12" s="21" t="s">
        <v>1324</v>
      </c>
      <c r="M12" s="28" t="b">
        <v>0</v>
      </c>
    </row>
    <row r="13" spans="1:13" ht="12.75">
      <c r="A13" s="21"/>
      <c r="B13" s="21"/>
      <c r="C13" s="23"/>
      <c r="D13" s="29" t="s">
        <v>67</v>
      </c>
      <c r="E13" s="25" t="str">
        <f>VLOOKUP(D13,'Form Responses 1'!B:J,2,FALSE)</f>
        <v>Jl. A. Yani No 23 Purworejo</v>
      </c>
      <c r="F13" s="26" t="str">
        <f>VLOOKUP(D13,'Form Responses 1'!B:J,5,FALSE)</f>
        <v>Dacin</v>
      </c>
      <c r="G13" s="26" t="str">
        <f>VLOOKUP(D13,'Form Responses 1'!B:J,6,FALSE)</f>
        <v>SNS</v>
      </c>
      <c r="H13" s="26" t="str">
        <f>VLOOKUP(D13,'Form Responses 1'!B:J,7,FALSE)</f>
        <v>-</v>
      </c>
      <c r="I13" s="26">
        <f>VLOOKUP(D13,'Form Responses 1'!B:J,8,FALSE)</f>
        <v>170694</v>
      </c>
      <c r="J13" s="26" t="str">
        <f>VLOOKUP(D13,'Form Responses 1'!B:J,9,FALSE)</f>
        <v>110 kg / 500 g</v>
      </c>
      <c r="K13" s="23"/>
      <c r="L13" s="21" t="s">
        <v>1324</v>
      </c>
      <c r="M13" s="28" t="b">
        <v>0</v>
      </c>
    </row>
    <row r="14" spans="1:13" ht="12.75">
      <c r="A14" s="21"/>
      <c r="B14" s="21"/>
      <c r="C14" s="23"/>
      <c r="D14" s="29" t="s">
        <v>68</v>
      </c>
      <c r="E14" s="25" t="str">
        <f>VLOOKUP(D14,'Form Responses 1'!B:J,2,FALSE)</f>
        <v>Jl. A. Yani No 23 Purworejo</v>
      </c>
      <c r="F14" s="26" t="str">
        <f>VLOOKUP(D14,'Form Responses 1'!B:J,5,FALSE)</f>
        <v>Dacin</v>
      </c>
      <c r="G14" s="26" t="str">
        <f>VLOOKUP(D14,'Form Responses 1'!B:J,6,FALSE)</f>
        <v>SNS</v>
      </c>
      <c r="H14" s="26" t="str">
        <f>VLOOKUP(D14,'Form Responses 1'!B:J,7,FALSE)</f>
        <v>-</v>
      </c>
      <c r="I14" s="26">
        <f>VLOOKUP(D14,'Form Responses 1'!B:J,8,FALSE)</f>
        <v>111724</v>
      </c>
      <c r="J14" s="26" t="str">
        <f>VLOOKUP(D14,'Form Responses 1'!B:J,9,FALSE)</f>
        <v>110 kg / 500 g</v>
      </c>
      <c r="K14" s="23"/>
      <c r="L14" s="21" t="s">
        <v>1324</v>
      </c>
      <c r="M14" s="28" t="b">
        <v>0</v>
      </c>
    </row>
    <row r="15" spans="1:13" ht="12.75">
      <c r="A15" s="21">
        <v>6</v>
      </c>
      <c r="B15" s="21" t="s">
        <v>1329</v>
      </c>
      <c r="C15" s="23">
        <v>46029</v>
      </c>
      <c r="D15" s="29" t="s">
        <v>69</v>
      </c>
      <c r="E15" s="25" t="str">
        <f>VLOOKUP(D15,'Form Responses 1'!B:J,2,FALSE)</f>
        <v>Jl. A. Yani No 23 Purworejo</v>
      </c>
      <c r="F15" s="26" t="str">
        <f>VLOOKUP(D15,'Form Responses 1'!B:J,5,FALSE)</f>
        <v>Timbangan Sentisimal</v>
      </c>
      <c r="G15" s="26" t="str">
        <f>VLOOKUP(D15,'Form Responses 1'!B:J,6,FALSE)</f>
        <v>Armada</v>
      </c>
      <c r="H15" s="26" t="str">
        <f>VLOOKUP(D15,'Form Responses 1'!B:J,7,FALSE)</f>
        <v>-</v>
      </c>
      <c r="I15" s="26">
        <f>VLOOKUP(D15,'Form Responses 1'!B:J,8,FALSE)</f>
        <v>97815</v>
      </c>
      <c r="J15" s="26" t="str">
        <f>VLOOKUP(D15,'Form Responses 1'!B:J,9,FALSE)</f>
        <v>500 kg / 200 g</v>
      </c>
      <c r="K15" s="23">
        <v>46029</v>
      </c>
      <c r="L15" s="21" t="s">
        <v>1326</v>
      </c>
      <c r="M15" s="28" t="b">
        <v>1</v>
      </c>
    </row>
    <row r="16" spans="1:13" ht="12.75">
      <c r="A16" s="21"/>
      <c r="B16" s="21"/>
      <c r="C16" s="23"/>
      <c r="D16" s="29" t="s">
        <v>73</v>
      </c>
      <c r="E16" s="25" t="str">
        <f>VLOOKUP(D16,'Form Responses 1'!B:J,2,FALSE)</f>
        <v>Jl. A. Yani No 23 Purworejo</v>
      </c>
      <c r="F16" s="26" t="str">
        <f>VLOOKUP(D16,'Form Responses 1'!B:J,5,FALSE)</f>
        <v>Timbangan Sentisimal</v>
      </c>
      <c r="G16" s="26" t="str">
        <f>VLOOKUP(D16,'Form Responses 1'!B:J,6,FALSE)</f>
        <v>Intra</v>
      </c>
      <c r="H16" s="26" t="str">
        <f>VLOOKUP(D16,'Form Responses 1'!B:J,7,FALSE)</f>
        <v>-</v>
      </c>
      <c r="I16" s="26" t="str">
        <f>VLOOKUP(D16,'Form Responses 1'!B:J,8,FALSE)</f>
        <v>-</v>
      </c>
      <c r="J16" s="26" t="str">
        <f>VLOOKUP(D16,'Form Responses 1'!B:J,9,FALSE)</f>
        <v>300 kg / 100 g</v>
      </c>
      <c r="K16" s="23"/>
      <c r="L16" s="21" t="s">
        <v>1326</v>
      </c>
      <c r="M16" s="28" t="b">
        <v>1</v>
      </c>
    </row>
    <row r="17" spans="1:13" ht="38.25">
      <c r="A17" s="21"/>
      <c r="D17" s="29" t="s">
        <v>78</v>
      </c>
      <c r="E17" s="25" t="str">
        <f>VLOOKUP(D17,'Form Responses 1'!B:J,2,FALSE)</f>
        <v>Jl. Yos Sudarso no 122, Desa Wero, Kec. Gombong, Kab. Kebumen</v>
      </c>
      <c r="F17" s="26" t="str">
        <f>VLOOKUP(D17,'Form Responses 1'!B:J,5,FALSE)</f>
        <v>PU BBM</v>
      </c>
      <c r="G17" s="26" t="str">
        <f>VLOOKUP(D17,'Form Responses 1'!B:J,6,FALSE)</f>
        <v>Wayne</v>
      </c>
      <c r="H17" s="26" t="str">
        <f>VLOOKUP(D17,'Form Responses 1'!B:J,7,FALSE)</f>
        <v>2203/Akswz5/E</v>
      </c>
      <c r="I17" s="26" t="str">
        <f>VLOOKUP(D17,'Form Responses 1'!B:J,8,FALSE)</f>
        <v>G 07118</v>
      </c>
      <c r="J17" s="26" t="str">
        <f>VLOOKUP(D17,'Form Responses 1'!B:J,9,FALSE)</f>
        <v>-</v>
      </c>
      <c r="L17" s="21" t="s">
        <v>1330</v>
      </c>
      <c r="M17" s="28" t="b">
        <v>1</v>
      </c>
    </row>
    <row r="18" spans="1:13" ht="38.25">
      <c r="A18" s="21">
        <v>7</v>
      </c>
      <c r="B18" s="21" t="s">
        <v>1331</v>
      </c>
      <c r="C18" s="23">
        <v>46029</v>
      </c>
      <c r="D18" s="29" t="s">
        <v>49</v>
      </c>
      <c r="E18" s="25" t="str">
        <f>VLOOKUP(D18,'Form Responses 1'!B:J,2,FALSE)</f>
        <v>Jl. Yos Sudarso no 122, Desa Wero, Kec. Gombong, Kab. Kebumen</v>
      </c>
      <c r="F18" s="26" t="str">
        <f>VLOOKUP(D18,'Form Responses 1'!B:J,5,FALSE)</f>
        <v>PU BBM</v>
      </c>
      <c r="G18" s="26" t="str">
        <f>VLOOKUP(D18,'Form Responses 1'!B:J,6,FALSE)</f>
        <v>Gilbarco</v>
      </c>
      <c r="H18" s="26" t="str">
        <f>VLOOKUP(D18,'Form Responses 1'!B:J,7,FALSE)</f>
        <v>B21</v>
      </c>
      <c r="I18" s="26" t="str">
        <f>VLOOKUP(D18,'Form Responses 1'!B:J,8,FALSE)</f>
        <v>HEPA 097853</v>
      </c>
      <c r="J18" s="26" t="str">
        <f>VLOOKUP(D18,'Form Responses 1'!B:J,9,FALSE)</f>
        <v>-</v>
      </c>
      <c r="K18" s="23">
        <v>46029</v>
      </c>
      <c r="L18" s="21" t="s">
        <v>1330</v>
      </c>
      <c r="M18" s="28" t="b">
        <v>1</v>
      </c>
    </row>
    <row r="19" spans="1:13" ht="38.25" hidden="1">
      <c r="A19" s="21"/>
      <c r="D19" s="29" t="s">
        <v>57</v>
      </c>
      <c r="E19" s="25" t="str">
        <f>VLOOKUP(D19,'Form Responses 1'!B:J,2,FALSE)</f>
        <v>Jl. Yos Sudarso no 122, Desa Wero, Kec. Gombong, Kab. Kebumen</v>
      </c>
      <c r="F19" s="26" t="str">
        <f>VLOOKUP(D19,'Form Responses 1'!B:J,5,FALSE)</f>
        <v>PU BBM</v>
      </c>
      <c r="G19" s="26" t="str">
        <f>VLOOKUP(D19,'Form Responses 1'!B:J,6,FALSE)</f>
        <v xml:space="preserve">Gilbarco </v>
      </c>
      <c r="H19" s="26" t="str">
        <f>VLOOKUP(D19,'Form Responses 1'!B:J,7,FALSE)</f>
        <v>B21</v>
      </c>
      <c r="I19" s="26" t="str">
        <f>VLOOKUP(D19,'Form Responses 1'!B:J,8,FALSE)</f>
        <v>KDPA 028431</v>
      </c>
      <c r="J19" s="26" t="str">
        <f>VLOOKUP(D19,'Form Responses 1'!B:J,9,FALSE)</f>
        <v>-</v>
      </c>
      <c r="L19" s="21" t="s">
        <v>1330</v>
      </c>
      <c r="M19" s="28" t="b">
        <v>1</v>
      </c>
    </row>
    <row r="20" spans="1:13" ht="38.25">
      <c r="A20" s="21"/>
      <c r="D20" s="29" t="s">
        <v>83</v>
      </c>
      <c r="E20" s="25" t="str">
        <f>VLOOKUP(D20,'Form Responses 1'!B:J,2,FALSE)</f>
        <v>Jl. Yos Sudarso no 122, Desa Wero, Kec. Gombong, Kab. Kebumen</v>
      </c>
      <c r="F20" s="26" t="str">
        <f>VLOOKUP(D20,'Form Responses 1'!B:J,5,FALSE)</f>
        <v>PU BBM</v>
      </c>
      <c r="G20" s="26" t="str">
        <f>VLOOKUP(D20,'Form Responses 1'!B:J,6,FALSE)</f>
        <v xml:space="preserve">Gilbarco </v>
      </c>
      <c r="H20" s="26" t="str">
        <f>VLOOKUP(D20,'Form Responses 1'!B:J,7,FALSE)</f>
        <v xml:space="preserve">B21 </v>
      </c>
      <c r="I20" s="26" t="str">
        <f>VLOOKUP(D20,'Form Responses 1'!B:J,8,FALSE)</f>
        <v>HEPA 097463</v>
      </c>
      <c r="J20" s="26" t="str">
        <f>VLOOKUP(D20,'Form Responses 1'!B:J,9,FALSE)</f>
        <v>-</v>
      </c>
      <c r="L20" s="21" t="s">
        <v>1330</v>
      </c>
      <c r="M20" s="28" t="b">
        <v>1</v>
      </c>
    </row>
    <row r="21" spans="1:13" ht="12.75">
      <c r="A21" s="21">
        <v>8</v>
      </c>
      <c r="B21" s="21" t="s">
        <v>1332</v>
      </c>
      <c r="C21" s="23">
        <v>46031</v>
      </c>
      <c r="D21" s="29" t="s">
        <v>87</v>
      </c>
      <c r="E21" s="25" t="str">
        <f>VLOOKUP(D21,'Form Responses 1'!B:J,2,FALSE)</f>
        <v>Jl. HM Sarbini 201 A</v>
      </c>
      <c r="F21" s="26" t="str">
        <f>VLOOKUP(D21,'Form Responses 1'!B:J,5,FALSE)</f>
        <v>Timbangan Elektronik</v>
      </c>
      <c r="G21" s="26" t="str">
        <f>VLOOKUP(D21,'Form Responses 1'!B:J,6,FALSE)</f>
        <v>SHIMADZU</v>
      </c>
      <c r="H21" s="26" t="str">
        <f>VLOOKUP(D21,'Form Responses 1'!B:J,7,FALSE)</f>
        <v>UX3200G</v>
      </c>
      <c r="I21" s="26" t="str">
        <f>VLOOKUP(D21,'Form Responses 1'!B:J,8,FALSE)</f>
        <v>D461741786</v>
      </c>
      <c r="J21" s="26" t="str">
        <f>VLOOKUP(D21,'Form Responses 1'!B:J,9,FALSE)</f>
        <v>3200 g/ 0,01 g</v>
      </c>
      <c r="K21" s="23">
        <v>46030</v>
      </c>
      <c r="L21" s="21" t="s">
        <v>1326</v>
      </c>
      <c r="M21" s="28" t="b">
        <v>1</v>
      </c>
    </row>
    <row r="22" spans="1:13" ht="38.25">
      <c r="A22" s="21">
        <v>9</v>
      </c>
      <c r="B22" s="21" t="s">
        <v>1333</v>
      </c>
      <c r="C22" s="23">
        <v>46031</v>
      </c>
      <c r="D22" s="29" t="s">
        <v>131</v>
      </c>
      <c r="E22" s="25" t="str">
        <f>VLOOKUP(D22,'Form Responses 1'!B:J,2,FALSE)</f>
        <v>Jl. HM Sarbini, Kelurahan Bumirejo, Kecamatan Kebumen, Kabupaten Kebumen</v>
      </c>
      <c r="F22" s="26" t="str">
        <f>VLOOKUP(D22,'Form Responses 1'!B:J,5,FALSE)</f>
        <v>PU BBM</v>
      </c>
      <c r="G22" s="26" t="str">
        <f>VLOOKUP(D22,'Form Responses 1'!B:J,6,FALSE)</f>
        <v>Gilbarco</v>
      </c>
      <c r="H22" s="26" t="str">
        <f>VLOOKUP(D22,'Form Responses 1'!B:J,7,FALSE)</f>
        <v>NA1S500</v>
      </c>
      <c r="I22" s="26" t="str">
        <f>VLOOKUP(D22,'Form Responses 1'!B:J,8,FALSE)</f>
        <v>EN 00015183</v>
      </c>
      <c r="J22" s="26" t="str">
        <f>VLOOKUP(D22,'Form Responses 1'!B:J,9,FALSE)</f>
        <v>60 Lpm / 5 lpm</v>
      </c>
      <c r="K22" s="23">
        <v>46030</v>
      </c>
      <c r="L22" s="21" t="s">
        <v>1330</v>
      </c>
      <c r="M22" s="28" t="b">
        <v>1</v>
      </c>
    </row>
    <row r="23" spans="1:13" ht="38.25">
      <c r="A23" s="21"/>
      <c r="D23" s="29" t="s">
        <v>138</v>
      </c>
      <c r="E23" s="25" t="str">
        <f>VLOOKUP(D23,'Form Responses 1'!B:J,2,FALSE)</f>
        <v>Jl. HM Sarbini, Kelurahan Bumirejo, Kecamatan Kebumen, Kabupaten Kebumen</v>
      </c>
      <c r="F23" s="26" t="str">
        <f>VLOOKUP(D23,'Form Responses 1'!B:J,5,FALSE)</f>
        <v>PU BBM</v>
      </c>
      <c r="G23" s="26" t="str">
        <f>VLOOKUP(D23,'Form Responses 1'!B:J,6,FALSE)</f>
        <v>Gilbarco</v>
      </c>
      <c r="H23" s="26" t="str">
        <f>VLOOKUP(D23,'Form Responses 1'!B:J,7,FALSE)</f>
        <v>NA2</v>
      </c>
      <c r="I23" s="26" t="str">
        <f>VLOOKUP(D23,'Form Responses 1'!B:J,8,FALSE)</f>
        <v>AAEN240478</v>
      </c>
      <c r="J23" s="26" t="str">
        <f>VLOOKUP(D23,'Form Responses 1'!B:J,9,FALSE)</f>
        <v>60 lpm / 5 lpm</v>
      </c>
      <c r="L23" s="21" t="s">
        <v>1330</v>
      </c>
      <c r="M23" s="28" t="b">
        <v>1</v>
      </c>
    </row>
    <row r="24" spans="1:13" ht="38.25">
      <c r="A24" s="21"/>
      <c r="D24" s="29" t="s">
        <v>143</v>
      </c>
      <c r="E24" s="25" t="str">
        <f>VLOOKUP(D24,'Form Responses 1'!B:J,2,FALSE)</f>
        <v>Jl. HM Sarbini, Kelurahan Bumirejo, Kecamatan Kebumen, Kabupaten Kebumen</v>
      </c>
      <c r="F24" s="26" t="str">
        <f>VLOOKUP(D24,'Form Responses 1'!B:J,5,FALSE)</f>
        <v>PU BBM</v>
      </c>
      <c r="G24" s="26" t="str">
        <f>VLOOKUP(D24,'Form Responses 1'!B:J,6,FALSE)</f>
        <v>Gilbarco</v>
      </c>
      <c r="H24" s="26" t="str">
        <f>VLOOKUP(D24,'Form Responses 1'!B:J,7,FALSE)</f>
        <v>NA2</v>
      </c>
      <c r="I24" s="26" t="str">
        <f>VLOOKUP(D24,'Form Responses 1'!B:J,8,FALSE)</f>
        <v>MXEN240026</v>
      </c>
      <c r="J24" s="26" t="str">
        <f>VLOOKUP(D24,'Form Responses 1'!B:J,9,FALSE)</f>
        <v>60 lpm / 5 lpm</v>
      </c>
      <c r="L24" s="21" t="s">
        <v>1330</v>
      </c>
      <c r="M24" s="28" t="b">
        <v>1</v>
      </c>
    </row>
    <row r="25" spans="1:13" ht="38.25">
      <c r="A25" s="21"/>
      <c r="D25" s="29" t="s">
        <v>146</v>
      </c>
      <c r="E25" s="25" t="str">
        <f>VLOOKUP(D25,'Form Responses 1'!B:J,2,FALSE)</f>
        <v>Jl. HM Sarbini, Kelurahan Bumirejo, Kecamatan Kebumen, Kabupaten Kebumen</v>
      </c>
      <c r="F25" s="26" t="str">
        <f>VLOOKUP(D25,'Form Responses 1'!B:J,5,FALSE)</f>
        <v>PU BBM</v>
      </c>
      <c r="G25" s="26" t="str">
        <f>VLOOKUP(D25,'Form Responses 1'!B:J,6,FALSE)</f>
        <v>Gilbarco</v>
      </c>
      <c r="H25" s="26" t="str">
        <f>VLOOKUP(D25,'Form Responses 1'!B:J,7,FALSE)</f>
        <v>NA1</v>
      </c>
      <c r="I25" s="26" t="str">
        <f>VLOOKUP(D25,'Form Responses 1'!B:J,8,FALSE)</f>
        <v>ABEN273664</v>
      </c>
      <c r="J25" s="26" t="str">
        <f>VLOOKUP(D25,'Form Responses 1'!B:J,9,FALSE)</f>
        <v>60 lpm/5lpm</v>
      </c>
      <c r="L25" s="21" t="s">
        <v>1330</v>
      </c>
      <c r="M25" s="28" t="b">
        <v>1</v>
      </c>
    </row>
    <row r="26" spans="1:13" ht="25.5">
      <c r="A26" s="21">
        <v>10</v>
      </c>
      <c r="B26" s="21" t="s">
        <v>1334</v>
      </c>
      <c r="C26" s="23">
        <v>46031</v>
      </c>
      <c r="D26" s="29" t="s">
        <v>99</v>
      </c>
      <c r="E26" s="25" t="str">
        <f>VLOOKUP(D26,'Form Responses 1'!B:J,2,FALSE)</f>
        <v>Jl. Wadaslintang km 17 Pasar pon, Padureso, Kebumen</v>
      </c>
      <c r="F26" s="26" t="str">
        <f>VLOOKUP(D26,'Form Responses 1'!B:J,5,FALSE)</f>
        <v>Timbangan Elektronik</v>
      </c>
      <c r="G26" s="26" t="str">
        <f>VLOOKUP(D26,'Form Responses 1'!B:J,6,FALSE)</f>
        <v>Acis</v>
      </c>
      <c r="H26" s="26" t="str">
        <f>VLOOKUP(D26,'Form Responses 1'!B:J,7,FALSE)</f>
        <v>Bc500</v>
      </c>
      <c r="I26" s="26" t="str">
        <f>VLOOKUP(D26,'Form Responses 1'!B:J,8,FALSE)</f>
        <v>C220801736</v>
      </c>
      <c r="J26" s="26" t="str">
        <f>VLOOKUP(D26,'Form Responses 1'!B:J,9,FALSE)</f>
        <v>500 g /0,1 g</v>
      </c>
      <c r="L26" s="21" t="s">
        <v>1322</v>
      </c>
      <c r="M26" s="28" t="b">
        <v>1</v>
      </c>
    </row>
    <row r="27" spans="1:13" ht="25.5">
      <c r="A27" s="21">
        <v>11</v>
      </c>
      <c r="B27" s="21" t="s">
        <v>1335</v>
      </c>
      <c r="C27" s="23">
        <v>46031</v>
      </c>
      <c r="D27" s="29" t="s">
        <v>107</v>
      </c>
      <c r="E27" s="25" t="str">
        <f>VLOOKUP(D27,'Form Responses 1'!B:J,2,FALSE)</f>
        <v>Pasar Wonokriyo Blok F no. 14 Gombong Kebumen</v>
      </c>
      <c r="F27" s="26" t="str">
        <f>VLOOKUP(D27,'Form Responses 1'!B:J,5,FALSE)</f>
        <v>Timbangan Elektronik</v>
      </c>
      <c r="G27" s="26" t="str">
        <f>VLOOKUP(D27,'Form Responses 1'!B:J,6,FALSE)</f>
        <v>AND</v>
      </c>
      <c r="H27" s="26" t="str">
        <f>VLOOKUP(D27,'Form Responses 1'!B:J,7,FALSE)</f>
        <v>HL-100</v>
      </c>
      <c r="I27" s="26" t="str">
        <f>VLOOKUP(D27,'Form Responses 1'!B:J,8,FALSE)</f>
        <v>K0003H2110724</v>
      </c>
      <c r="J27" s="26" t="str">
        <f>VLOOKUP(D27,'Form Responses 1'!B:J,9,FALSE)</f>
        <v>100 g / 0.01 g</v>
      </c>
      <c r="K27" s="23">
        <v>46030</v>
      </c>
      <c r="L27" s="21" t="s">
        <v>1322</v>
      </c>
      <c r="M27" s="28" t="b">
        <v>1</v>
      </c>
    </row>
    <row r="28" spans="1:13" ht="25.5">
      <c r="A28" s="21"/>
      <c r="D28" s="29" t="s">
        <v>114</v>
      </c>
      <c r="E28" s="25" t="str">
        <f>VLOOKUP(D28,'Form Responses 1'!B:J,2,FALSE)</f>
        <v>Pasar Wonokriyo Blok F no. 14 Gombong Kebumen</v>
      </c>
      <c r="F28" s="26" t="str">
        <f>VLOOKUP(D28,'Form Responses 1'!B:J,5,FALSE)</f>
        <v>Timbangan Elektronik</v>
      </c>
      <c r="G28" s="26" t="str">
        <f>VLOOKUP(D28,'Form Responses 1'!B:J,6,FALSE)</f>
        <v>AND</v>
      </c>
      <c r="H28" s="26" t="str">
        <f>VLOOKUP(D28,'Form Responses 1'!B:J,7,FALSE)</f>
        <v>HL-100</v>
      </c>
      <c r="I28" s="26" t="str">
        <f>VLOOKUP(D28,'Form Responses 1'!B:J,8,FALSE)</f>
        <v>K0004H804001193</v>
      </c>
      <c r="J28" s="26" t="str">
        <f>VLOOKUP(D28,'Form Responses 1'!B:J,9,FALSE)</f>
        <v>100 g / 0.01 g</v>
      </c>
      <c r="L28" s="26"/>
      <c r="M28" s="28" t="b">
        <v>1</v>
      </c>
    </row>
    <row r="29" spans="1:13" ht="25.5">
      <c r="A29" s="21"/>
      <c r="D29" s="29" t="s">
        <v>116</v>
      </c>
      <c r="E29" s="25" t="str">
        <f>VLOOKUP(D29,'Form Responses 1'!B:J,2,FALSE)</f>
        <v>Pasar Wonokriyo Blok F no. 14 Gombong Kebumen</v>
      </c>
      <c r="F29" s="26" t="str">
        <f>VLOOKUP(D29,'Form Responses 1'!B:J,5,FALSE)</f>
        <v>Timbangan Elektronik</v>
      </c>
      <c r="G29" s="26" t="str">
        <f>VLOOKUP(D29,'Form Responses 1'!B:J,6,FALSE)</f>
        <v>AND</v>
      </c>
      <c r="H29" s="26" t="str">
        <f>VLOOKUP(D29,'Form Responses 1'!B:J,7,FALSE)</f>
        <v>EK-410i</v>
      </c>
      <c r="I29" s="26" t="str">
        <f>VLOOKUP(D29,'Form Responses 1'!B:J,8,FALSE)</f>
        <v>6A4443221</v>
      </c>
      <c r="J29" s="26" t="str">
        <f>VLOOKUP(D29,'Form Responses 1'!B:J,9,FALSE)</f>
        <v>400 g / 0.01 g</v>
      </c>
      <c r="L29" s="26"/>
      <c r="M29" s="28" t="b">
        <v>1</v>
      </c>
    </row>
    <row r="30" spans="1:13" ht="25.5">
      <c r="A30" s="21">
        <v>12</v>
      </c>
      <c r="B30" s="21" t="s">
        <v>1336</v>
      </c>
      <c r="C30" s="23">
        <v>46031</v>
      </c>
      <c r="D30" s="29" t="s">
        <v>120</v>
      </c>
      <c r="E30" s="25" t="str">
        <f>VLOOKUP(D30,'Form Responses 1'!B:J,2,FALSE)</f>
        <v>Pasar Tumenggungan Blok A 9-10 kebumen</v>
      </c>
      <c r="F30" s="26" t="str">
        <f>VLOOKUP(D30,'Form Responses 1'!B:J,5,FALSE)</f>
        <v>Timbangan Elektronik</v>
      </c>
      <c r="G30" s="26" t="str">
        <f>VLOOKUP(D30,'Form Responses 1'!B:J,6,FALSE)</f>
        <v>AND</v>
      </c>
      <c r="H30" s="26" t="str">
        <f>VLOOKUP(D30,'Form Responses 1'!B:J,7,FALSE)</f>
        <v>HT-120</v>
      </c>
      <c r="I30" s="26">
        <f>VLOOKUP(D30,'Form Responses 1'!B:J,8,FALSE)</f>
        <v>5171100070</v>
      </c>
      <c r="J30" s="26" t="str">
        <f>VLOOKUP(D30,'Form Responses 1'!B:J,9,FALSE)</f>
        <v>120 g / 0.01 g</v>
      </c>
      <c r="K30" s="23">
        <v>46030</v>
      </c>
      <c r="L30" s="21" t="s">
        <v>1322</v>
      </c>
      <c r="M30" s="28" t="b">
        <v>1</v>
      </c>
    </row>
    <row r="31" spans="1:13" ht="25.5">
      <c r="A31" s="21"/>
      <c r="D31" s="29" t="s">
        <v>124</v>
      </c>
      <c r="E31" s="25" t="str">
        <f>VLOOKUP(D31,'Form Responses 1'!B:J,2,FALSE)</f>
        <v>Pasar Tumenggungan Blok A 9-10 kebumen</v>
      </c>
      <c r="F31" s="26" t="str">
        <f>VLOOKUP(D31,'Form Responses 1'!B:J,5,FALSE)</f>
        <v>Timbangan Elektronik</v>
      </c>
      <c r="G31" s="26" t="str">
        <f>VLOOKUP(D31,'Form Responses 1'!B:J,6,FALSE)</f>
        <v>AND</v>
      </c>
      <c r="H31" s="26" t="str">
        <f>VLOOKUP(D31,'Form Responses 1'!B:J,7,FALSE)</f>
        <v>EK-410i</v>
      </c>
      <c r="I31" s="26" t="str">
        <f>VLOOKUP(D31,'Form Responses 1'!B:J,8,FALSE)</f>
        <v>6A4443254</v>
      </c>
      <c r="J31" s="26" t="str">
        <f>VLOOKUP(D31,'Form Responses 1'!B:J,9,FALSE)</f>
        <v>400 g / 0.01 g</v>
      </c>
      <c r="L31" s="26"/>
      <c r="M31" s="28" t="b">
        <v>1</v>
      </c>
    </row>
    <row r="32" spans="1:13" ht="12.75">
      <c r="A32" s="21">
        <v>13</v>
      </c>
      <c r="B32" s="21" t="s">
        <v>1337</v>
      </c>
      <c r="C32" s="23">
        <v>46031</v>
      </c>
      <c r="D32" s="29" t="s">
        <v>126</v>
      </c>
      <c r="E32" s="25" t="str">
        <f>VLOOKUP(D32,'Form Responses 1'!B:J,2,FALSE)</f>
        <v>Jln Yos Sudarso 331 Gombong</v>
      </c>
      <c r="F32" s="26" t="str">
        <f>VLOOKUP(D32,'Form Responses 1'!B:J,5,FALSE)</f>
        <v>Timbangan Elektronik</v>
      </c>
      <c r="G32" s="26" t="str">
        <f>VLOOKUP(D32,'Form Responses 1'!B:J,6,FALSE)</f>
        <v>AND</v>
      </c>
      <c r="H32" s="26" t="str">
        <f>VLOOKUP(D32,'Form Responses 1'!B:J,7,FALSE)</f>
        <v>HT-120</v>
      </c>
      <c r="I32" s="26">
        <f>VLOOKUP(D32,'Form Responses 1'!B:J,8,FALSE)</f>
        <v>5150900175</v>
      </c>
      <c r="J32" s="26" t="str">
        <f>VLOOKUP(D32,'Form Responses 1'!B:J,9,FALSE)</f>
        <v>120 g / 0.01 g</v>
      </c>
      <c r="K32" s="23">
        <v>46030</v>
      </c>
      <c r="L32" s="21" t="s">
        <v>1322</v>
      </c>
      <c r="M32" s="28" t="b">
        <v>1</v>
      </c>
    </row>
    <row r="33" spans="1:13" ht="12.75">
      <c r="A33" s="21"/>
      <c r="D33" s="29" t="s">
        <v>128</v>
      </c>
      <c r="E33" s="25" t="str">
        <f>VLOOKUP(D33,'Form Responses 1'!B:J,2,FALSE)</f>
        <v>Jln Yos Sudarso 331 Gombong</v>
      </c>
      <c r="F33" s="26" t="str">
        <f>VLOOKUP(D33,'Form Responses 1'!B:J,5,FALSE)</f>
        <v>Timbangan Elektronik</v>
      </c>
      <c r="G33" s="26" t="str">
        <f>VLOOKUP(D33,'Form Responses 1'!B:J,6,FALSE)</f>
        <v>AND</v>
      </c>
      <c r="H33" s="26" t="str">
        <f>VLOOKUP(D33,'Form Responses 1'!B:J,7,FALSE)</f>
        <v>HT-120</v>
      </c>
      <c r="I33" s="26">
        <f>VLOOKUP(D33,'Form Responses 1'!B:J,8,FALSE)</f>
        <v>5210900407</v>
      </c>
      <c r="J33" s="26" t="str">
        <f>VLOOKUP(D33,'Form Responses 1'!B:J,9,FALSE)</f>
        <v>120 g / 0.01 g</v>
      </c>
      <c r="L33" s="26"/>
      <c r="M33" s="28" t="b">
        <v>1</v>
      </c>
    </row>
    <row r="34" spans="1:13" ht="12.75">
      <c r="A34" s="21"/>
      <c r="D34" s="29" t="s">
        <v>129</v>
      </c>
      <c r="E34" s="25" t="str">
        <f>VLOOKUP(D34,'Form Responses 1'!B:J,2,FALSE)</f>
        <v>Jln Yos Sudarso 331 Gombong</v>
      </c>
      <c r="F34" s="26" t="str">
        <f>VLOOKUP(D34,'Form Responses 1'!B:J,5,FALSE)</f>
        <v>Timbangan Elektronik</v>
      </c>
      <c r="G34" s="26" t="str">
        <f>VLOOKUP(D34,'Form Responses 1'!B:J,6,FALSE)</f>
        <v>AND</v>
      </c>
      <c r="H34" s="26" t="str">
        <f>VLOOKUP(D34,'Form Responses 1'!B:J,7,FALSE)</f>
        <v>EK-410i</v>
      </c>
      <c r="I34" s="26" t="str">
        <f>VLOOKUP(D34,'Form Responses 1'!B:J,8,FALSE)</f>
        <v>6A4443222</v>
      </c>
      <c r="J34" s="26" t="str">
        <f>VLOOKUP(D34,'Form Responses 1'!B:J,9,FALSE)</f>
        <v>400 g / 0.01 g</v>
      </c>
      <c r="L34" s="26"/>
      <c r="M34" s="28" t="b">
        <v>1</v>
      </c>
    </row>
    <row r="35" spans="1:13" ht="12.75">
      <c r="A35" s="21">
        <v>14</v>
      </c>
      <c r="B35" s="21" t="s">
        <v>1338</v>
      </c>
      <c r="C35" s="23">
        <v>46031</v>
      </c>
      <c r="D35" s="29" t="s">
        <v>151</v>
      </c>
      <c r="E35" s="25" t="str">
        <f>VLOOKUP(D35,'Form Responses 1'!B:J,2,FALSE)</f>
        <v>Jatinegara , Sempor</v>
      </c>
      <c r="F35" s="26" t="str">
        <f>VLOOKUP(D35,'Form Responses 1'!B:J,5,FALSE)</f>
        <v>Timbangan Elektronik</v>
      </c>
      <c r="G35" s="26" t="str">
        <f>VLOOKUP(D35,'Form Responses 1'!B:J,6,FALSE)</f>
        <v>CHQ</v>
      </c>
      <c r="H35" s="26" t="str">
        <f>VLOOKUP(D35,'Form Responses 1'!B:J,7,FALSE)</f>
        <v>DJ602C</v>
      </c>
      <c r="I35" s="26">
        <f>VLOOKUP(D35,'Form Responses 1'!B:J,8,FALSE)</f>
        <v>0</v>
      </c>
      <c r="J35" s="26" t="str">
        <f>VLOOKUP(D35,'Form Responses 1'!B:J,9,FALSE)</f>
        <v>600 gr/0,01 gr</v>
      </c>
      <c r="K35" s="23">
        <v>46030</v>
      </c>
      <c r="L35" s="21" t="s">
        <v>1322</v>
      </c>
      <c r="M35" s="28" t="b">
        <v>1</v>
      </c>
    </row>
    <row r="36" spans="1:13" ht="25.5">
      <c r="A36" s="21">
        <v>15</v>
      </c>
      <c r="B36" s="21" t="s">
        <v>1339</v>
      </c>
      <c r="C36" s="23">
        <v>46034</v>
      </c>
      <c r="D36" s="24" t="s">
        <v>165</v>
      </c>
      <c r="E36" s="25" t="str">
        <f>VLOOKUP(D36,'Form Responses 1'!B:J,2,FALSE)</f>
        <v xml:space="preserve">Desa Tambakmulyo, Kecamatan Puring, Kabupaten Kebumen </v>
      </c>
      <c r="F36" s="26" t="str">
        <f>VLOOKUP(D36,'Form Responses 1'!B:J,5,FALSE)</f>
        <v>PU BBM</v>
      </c>
      <c r="G36" s="26" t="str">
        <f>VLOOKUP(D36,'Form Responses 1'!B:J,6,FALSE)</f>
        <v>TATSUNO</v>
      </c>
      <c r="H36" s="26" t="str">
        <f>VLOOKUP(D36,'Form Responses 1'!B:J,7,FALSE)</f>
        <v>SSB3662</v>
      </c>
      <c r="I36" s="26" t="str">
        <f>VLOOKUP(D36,'Form Responses 1'!B:J,8,FALSE)</f>
        <v>AA315408 2022-1</v>
      </c>
      <c r="J36" s="26" t="str">
        <f>VLOOKUP(D36,'Form Responses 1'!B:J,9,FALSE)</f>
        <v>65 L/min</v>
      </c>
      <c r="K36" s="23">
        <v>46031</v>
      </c>
      <c r="L36" s="30" t="s">
        <v>1340</v>
      </c>
      <c r="M36" s="28" t="b">
        <v>1</v>
      </c>
    </row>
    <row r="37" spans="1:13" ht="38.25">
      <c r="A37" s="21">
        <v>16</v>
      </c>
      <c r="B37" s="21" t="s">
        <v>1341</v>
      </c>
      <c r="C37" s="23">
        <v>46034</v>
      </c>
      <c r="D37" s="29" t="s">
        <v>172</v>
      </c>
      <c r="E37" s="25" t="str">
        <f>VLOOKUP(D37,'Form Responses 1'!B:J,2,FALSE)</f>
        <v>Jl. Lingkar Soka, Desa Kewayuhan, Kecamatan Pejagoan, Kabupaten Kebumen</v>
      </c>
      <c r="F37" s="26" t="str">
        <f>VLOOKUP(D37,'Form Responses 1'!B:J,5,FALSE)</f>
        <v>PU BBM</v>
      </c>
      <c r="G37" s="26" t="str">
        <f>VLOOKUP(D37,'Form Responses 1'!B:J,6,FALSE)</f>
        <v>TATSUNO</v>
      </c>
      <c r="H37" s="26" t="str">
        <f>VLOOKUP(D37,'Form Responses 1'!B:J,7,FALSE)</f>
        <v>GSB 2441P</v>
      </c>
      <c r="I37" s="26" t="str">
        <f>VLOOKUP(D37,'Form Responses 1'!B:J,8,FALSE)</f>
        <v>AA 192403 2010-6</v>
      </c>
      <c r="J37" s="26" t="str">
        <f>VLOOKUP(D37,'Form Responses 1'!B:J,9,FALSE)</f>
        <v>60 L/min</v>
      </c>
      <c r="K37" s="23">
        <v>46031</v>
      </c>
      <c r="L37" s="30" t="s">
        <v>1340</v>
      </c>
      <c r="M37" s="28" t="b">
        <v>1</v>
      </c>
    </row>
    <row r="38" spans="1:13" ht="38.25">
      <c r="A38" s="21"/>
      <c r="D38" s="29" t="s">
        <v>178</v>
      </c>
      <c r="E38" s="25" t="str">
        <f>VLOOKUP(D38,'Form Responses 1'!B:J,2,FALSE)</f>
        <v>Jl. Lingkar Soka, Desa Kewayuhan, Kecamatan Pejagoan, Kabupaten Kebumen</v>
      </c>
      <c r="F38" s="26" t="str">
        <f>VLOOKUP(D38,'Form Responses 1'!B:J,5,FALSE)</f>
        <v>PU BBM</v>
      </c>
      <c r="G38" s="26" t="str">
        <f>VLOOKUP(D38,'Form Responses 1'!B:J,6,FALSE)</f>
        <v xml:space="preserve">TATSUNO </v>
      </c>
      <c r="H38" s="26" t="str">
        <f>VLOOKUP(D38,'Form Responses 1'!B:J,7,FALSE)</f>
        <v>GSB 2441P</v>
      </c>
      <c r="I38" s="26" t="str">
        <f>VLOOKUP(D38,'Form Responses 1'!B:J,8,FALSE)</f>
        <v>AA 199109 2011-3</v>
      </c>
      <c r="J38" s="26" t="str">
        <f>VLOOKUP(D38,'Form Responses 1'!B:J,9,FALSE)</f>
        <v>60 L/min</v>
      </c>
      <c r="L38" s="26"/>
      <c r="M38" s="28" t="b">
        <v>1</v>
      </c>
    </row>
    <row r="39" spans="1:13" ht="38.25">
      <c r="A39" s="21"/>
      <c r="D39" s="29" t="s">
        <v>182</v>
      </c>
      <c r="E39" s="25" t="str">
        <f>VLOOKUP(D39,'Form Responses 1'!B:J,2,FALSE)</f>
        <v>Jl. Lingkar Soka, Desa Kewayuhan, Kecamatan Pejagoan, Kabupaten Kebumen</v>
      </c>
      <c r="F39" s="26" t="str">
        <f>VLOOKUP(D39,'Form Responses 1'!B:J,5,FALSE)</f>
        <v>PU BBM</v>
      </c>
      <c r="G39" s="26" t="str">
        <f>VLOOKUP(D39,'Form Responses 1'!B:J,6,FALSE)</f>
        <v>TATSUNO</v>
      </c>
      <c r="H39" s="26" t="str">
        <f>VLOOKUP(D39,'Form Responses 1'!B:J,7,FALSE)</f>
        <v>GSA 1221</v>
      </c>
      <c r="I39" s="26" t="str">
        <f>VLOOKUP(D39,'Form Responses 1'!B:J,8,FALSE)</f>
        <v>AA 166702 2007-10</v>
      </c>
      <c r="J39" s="26" t="str">
        <f>VLOOKUP(D39,'Form Responses 1'!B:J,9,FALSE)</f>
        <v>60 L/min</v>
      </c>
      <c r="L39" s="26"/>
      <c r="M39" s="28" t="b">
        <v>1</v>
      </c>
    </row>
    <row r="40" spans="1:13" ht="38.25">
      <c r="A40" s="21"/>
      <c r="D40" s="29" t="s">
        <v>186</v>
      </c>
      <c r="E40" s="25" t="str">
        <f>VLOOKUP(D40,'Form Responses 1'!B:J,2,FALSE)</f>
        <v>Jl. Lingkar Soka, Desa Kewayuhan, Kecamatan Pejagoan, Kabupaten Kebumen</v>
      </c>
      <c r="F40" s="26" t="str">
        <f>VLOOKUP(D40,'Form Responses 1'!B:J,5,FALSE)</f>
        <v>PU BBM</v>
      </c>
      <c r="G40" s="26" t="str">
        <f>VLOOKUP(D40,'Form Responses 1'!B:J,6,FALSE)</f>
        <v>TATSUNO</v>
      </c>
      <c r="H40" s="26" t="str">
        <f>VLOOKUP(D40,'Form Responses 1'!B:J,7,FALSE)</f>
        <v>GSB 2441P</v>
      </c>
      <c r="I40" s="26" t="str">
        <f>VLOOKUP(D40,'Form Responses 1'!B:J,8,FALSE)</f>
        <v>AA 185772 2009-9</v>
      </c>
      <c r="J40" s="26" t="str">
        <f>VLOOKUP(D40,'Form Responses 1'!B:J,9,FALSE)</f>
        <v>60 L/min</v>
      </c>
      <c r="L40" s="26"/>
      <c r="M40" s="28" t="b">
        <v>1</v>
      </c>
    </row>
    <row r="41" spans="1:13" ht="38.25">
      <c r="A41" s="21">
        <v>17</v>
      </c>
      <c r="B41" s="21" t="s">
        <v>1342</v>
      </c>
      <c r="C41" s="23">
        <v>46034</v>
      </c>
      <c r="D41" s="29" t="s">
        <v>158</v>
      </c>
      <c r="E41" s="25" t="str">
        <f>VLOOKUP(D41,'Form Responses 1'!B:J,2,FALSE)</f>
        <v>Jl. Sokka Petanahan No. 217, Jogomertan, Kec. Petanahan, Kabupaten Kebumen</v>
      </c>
      <c r="F41" s="26" t="str">
        <f>VLOOKUP(D41,'Form Responses 1'!B:J,5,FALSE)</f>
        <v>Timbangan Elektronik</v>
      </c>
      <c r="G41" s="26" t="str">
        <f>VLOOKUP(D41,'Form Responses 1'!B:J,6,FALSE)</f>
        <v>ACIS</v>
      </c>
      <c r="H41" s="26" t="str">
        <f>VLOOKUP(D41,'Form Responses 1'!B:J,7,FALSE)</f>
        <v>BC - 5000</v>
      </c>
      <c r="I41" s="26" t="str">
        <f>VLOOKUP(D41,'Form Responses 1'!B:J,8,FALSE)</f>
        <v>E2504031124</v>
      </c>
      <c r="J41" s="26" t="str">
        <f>VLOOKUP(D41,'Form Responses 1'!B:J,9,FALSE)</f>
        <v>5000 g / 1 g</v>
      </c>
      <c r="K41" s="23">
        <v>46034</v>
      </c>
      <c r="L41" s="30" t="s">
        <v>1322</v>
      </c>
      <c r="M41" s="28" t="b">
        <v>1</v>
      </c>
    </row>
    <row r="42" spans="1:13" ht="12.75">
      <c r="A42" s="21">
        <v>18</v>
      </c>
      <c r="B42" s="21" t="s">
        <v>1343</v>
      </c>
      <c r="C42" s="23">
        <v>46034</v>
      </c>
      <c r="D42" s="29" t="s">
        <v>189</v>
      </c>
      <c r="E42" s="25" t="str">
        <f>VLOOKUP(D42,'Form Responses 1'!B:J,2,FALSE)</f>
        <v>Adikarso</v>
      </c>
      <c r="F42" s="26" t="str">
        <f>VLOOKUP(D42,'Form Responses 1'!B:J,5,FALSE)</f>
        <v>Timbangan Pegas</v>
      </c>
      <c r="G42" s="26" t="str">
        <f>VLOOKUP(D42,'Form Responses 1'!B:J,6,FALSE)</f>
        <v>NHON HOA</v>
      </c>
      <c r="H42" s="26" t="str">
        <f>VLOOKUP(D42,'Form Responses 1'!B:J,7,FALSE)</f>
        <v xml:space="preserve">NHS 100 </v>
      </c>
      <c r="I42" s="26">
        <f>VLOOKUP(D42,'Form Responses 1'!B:J,8,FALSE)</f>
        <v>3399</v>
      </c>
      <c r="J42" s="26" t="str">
        <f>VLOOKUP(D42,'Form Responses 1'!B:J,9,FALSE)</f>
        <v xml:space="preserve">100 kg / 200 g </v>
      </c>
      <c r="K42" s="23">
        <v>46034</v>
      </c>
      <c r="L42" s="30" t="s">
        <v>1326</v>
      </c>
      <c r="M42" s="28" t="b">
        <v>1</v>
      </c>
    </row>
    <row r="43" spans="1:13" ht="25.5">
      <c r="A43" s="21">
        <v>19</v>
      </c>
      <c r="B43" s="21" t="s">
        <v>1344</v>
      </c>
      <c r="C43" s="23">
        <v>46034</v>
      </c>
      <c r="D43" s="29" t="s">
        <v>197</v>
      </c>
      <c r="E43" s="25" t="str">
        <f>VLOOKUP(D43,'Form Responses 1'!B:J,2,FALSE)</f>
        <v>Pasar Tumenggungan Blok A 9-10 Kebumen</v>
      </c>
      <c r="F43" s="26" t="str">
        <f>VLOOKUP(D43,'Form Responses 1'!B:J,5,FALSE)</f>
        <v>Timbangan Elektronik</v>
      </c>
      <c r="G43" s="26" t="str">
        <f>VLOOKUP(D43,'Form Responses 1'!B:J,6,FALSE)</f>
        <v>AND</v>
      </c>
      <c r="H43" s="26" t="str">
        <f>VLOOKUP(D43,'Form Responses 1'!B:J,7,FALSE)</f>
        <v>HT-120</v>
      </c>
      <c r="I43" s="26">
        <f>VLOOKUP(D43,'Form Responses 1'!B:J,8,FALSE)</f>
        <v>5180100108</v>
      </c>
      <c r="J43" s="26" t="str">
        <f>VLOOKUP(D43,'Form Responses 1'!B:J,9,FALSE)</f>
        <v>120 G</v>
      </c>
      <c r="K43" s="23">
        <v>46034</v>
      </c>
      <c r="L43" s="30" t="s">
        <v>1326</v>
      </c>
      <c r="M43" s="28" t="b">
        <v>1</v>
      </c>
    </row>
    <row r="44" spans="1:13" ht="25.5">
      <c r="A44" s="21"/>
      <c r="D44" s="29" t="s">
        <v>201</v>
      </c>
      <c r="E44" s="25" t="str">
        <f>VLOOKUP(D44,'Form Responses 1'!B:J,2,FALSE)</f>
        <v>Pasar Tumenggungan Blok A 9-10 Kebumen</v>
      </c>
      <c r="F44" s="26" t="str">
        <f>VLOOKUP(D44,'Form Responses 1'!B:J,5,FALSE)</f>
        <v>Timbangan Elektronik</v>
      </c>
      <c r="G44" s="26" t="str">
        <f>VLOOKUP(D44,'Form Responses 1'!B:J,6,FALSE)</f>
        <v>AND</v>
      </c>
      <c r="H44" s="26" t="str">
        <f>VLOOKUP(D44,'Form Responses 1'!B:J,7,FALSE)</f>
        <v>HT120</v>
      </c>
      <c r="I44" s="26">
        <f>VLOOKUP(D44,'Form Responses 1'!B:J,8,FALSE)</f>
        <v>5180100109</v>
      </c>
      <c r="J44" s="26" t="str">
        <f>VLOOKUP(D44,'Form Responses 1'!B:J,9,FALSE)</f>
        <v>120 G</v>
      </c>
      <c r="L44" s="26"/>
      <c r="M44" s="28" t="b">
        <v>1</v>
      </c>
    </row>
    <row r="45" spans="1:13" ht="25.5">
      <c r="A45" s="21"/>
      <c r="D45" s="29" t="s">
        <v>203</v>
      </c>
      <c r="E45" s="25" t="str">
        <f>VLOOKUP(D45,'Form Responses 1'!B:J,2,FALSE)</f>
        <v>Pasar Tumenggungan Blok A 9-10 Kebumen</v>
      </c>
      <c r="F45" s="26" t="str">
        <f>VLOOKUP(D45,'Form Responses 1'!B:J,5,FALSE)</f>
        <v>Timbangan Elektronik</v>
      </c>
      <c r="G45" s="26" t="str">
        <f>VLOOKUP(D45,'Form Responses 1'!B:J,6,FALSE)</f>
        <v>AND</v>
      </c>
      <c r="H45" s="26" t="str">
        <f>VLOOKUP(D45,'Form Responses 1'!B:J,7,FALSE)</f>
        <v>EK-410I</v>
      </c>
      <c r="I45" s="26" t="str">
        <f>VLOOKUP(D45,'Form Responses 1'!B:J,8,FALSE)</f>
        <v>6A4443254</v>
      </c>
      <c r="J45" s="26" t="str">
        <f>VLOOKUP(D45,'Form Responses 1'!B:J,9,FALSE)</f>
        <v>400 G</v>
      </c>
      <c r="L45" s="26"/>
      <c r="M45" s="28" t="b">
        <v>1</v>
      </c>
    </row>
    <row r="46" spans="1:13" ht="25.5">
      <c r="A46" s="21">
        <v>20</v>
      </c>
      <c r="B46" s="21" t="s">
        <v>1345</v>
      </c>
      <c r="C46" s="23">
        <v>46034</v>
      </c>
      <c r="D46" s="29" t="s">
        <v>206</v>
      </c>
      <c r="E46" s="25" t="str">
        <f>VLOOKUP(D46,'Form Responses 1'!B:J,2,FALSE)</f>
        <v>Ruko Pasar Wonokriyo Blok F No. 14 Gombong</v>
      </c>
      <c r="F46" s="26" t="str">
        <f>VLOOKUP(D46,'Form Responses 1'!B:J,5,FALSE)</f>
        <v>Timbangan Elektronik</v>
      </c>
      <c r="G46" s="26" t="str">
        <f>VLOOKUP(D46,'Form Responses 1'!B:J,6,FALSE)</f>
        <v>AND</v>
      </c>
      <c r="H46" s="26" t="str">
        <f>VLOOKUP(D46,'Form Responses 1'!B:J,7,FALSE)</f>
        <v>HT120</v>
      </c>
      <c r="I46" s="26">
        <f>VLOOKUP(D46,'Form Responses 1'!B:J,8,FALSE)</f>
        <v>5181000061</v>
      </c>
      <c r="J46" s="26" t="str">
        <f>VLOOKUP(D46,'Form Responses 1'!B:J,9,FALSE)</f>
        <v>120 G</v>
      </c>
      <c r="K46" s="23">
        <v>46034</v>
      </c>
      <c r="L46" s="30" t="s">
        <v>1326</v>
      </c>
      <c r="M46" s="28" t="b">
        <v>1</v>
      </c>
    </row>
    <row r="47" spans="1:13" ht="25.5">
      <c r="A47" s="21"/>
      <c r="D47" s="29" t="s">
        <v>208</v>
      </c>
      <c r="E47" s="25" t="str">
        <f>VLOOKUP(D47,'Form Responses 1'!B:J,2,FALSE)</f>
        <v>Ruko Pasar Wonokriyo Blok F No. 14 Gombong</v>
      </c>
      <c r="F47" s="26" t="str">
        <f>VLOOKUP(D47,'Form Responses 1'!B:J,5,FALSE)</f>
        <v>Timbangan Elektronik</v>
      </c>
      <c r="G47" s="26" t="str">
        <f>VLOOKUP(D47,'Form Responses 1'!B:J,6,FALSE)</f>
        <v>AND</v>
      </c>
      <c r="H47" s="26" t="str">
        <f>VLOOKUP(D47,'Form Responses 1'!B:J,7,FALSE)</f>
        <v>HT120</v>
      </c>
      <c r="I47" s="26">
        <f>VLOOKUP(D47,'Form Responses 1'!B:J,8,FALSE)</f>
        <v>5210900406</v>
      </c>
      <c r="J47" s="26" t="str">
        <f>VLOOKUP(D47,'Form Responses 1'!B:J,9,FALSE)</f>
        <v>120 G</v>
      </c>
      <c r="L47" s="26"/>
      <c r="M47" s="28" t="b">
        <v>1</v>
      </c>
    </row>
    <row r="48" spans="1:13" ht="25.5">
      <c r="A48" s="21"/>
      <c r="D48" s="29" t="s">
        <v>209</v>
      </c>
      <c r="E48" s="25" t="str">
        <f>VLOOKUP(D48,'Form Responses 1'!B:J,2,FALSE)</f>
        <v>Ruko Pasar Wonokriyo Blok F No. 14 Gombong</v>
      </c>
      <c r="F48" s="26" t="str">
        <f>VLOOKUP(D48,'Form Responses 1'!B:J,5,FALSE)</f>
        <v>Timbangan Elektronik</v>
      </c>
      <c r="G48" s="26" t="str">
        <f>VLOOKUP(D48,'Form Responses 1'!B:J,6,FALSE)</f>
        <v>AND</v>
      </c>
      <c r="H48" s="26" t="str">
        <f>VLOOKUP(D48,'Form Responses 1'!B:J,7,FALSE)</f>
        <v>HT120</v>
      </c>
      <c r="I48" s="26">
        <f>VLOOKUP(D48,'Form Responses 1'!B:J,8,FALSE)</f>
        <v>5150900156</v>
      </c>
      <c r="J48" s="26" t="str">
        <f>VLOOKUP(D48,'Form Responses 1'!B:J,9,FALSE)</f>
        <v>120 G</v>
      </c>
      <c r="L48" s="26"/>
      <c r="M48" s="28" t="b">
        <v>1</v>
      </c>
    </row>
    <row r="49" spans="1:13" ht="12.75">
      <c r="A49" s="21">
        <v>21</v>
      </c>
      <c r="B49" s="21" t="s">
        <v>1346</v>
      </c>
      <c r="C49" s="23">
        <v>46034</v>
      </c>
      <c r="D49" s="29" t="s">
        <v>210</v>
      </c>
      <c r="E49" s="25" t="str">
        <f>VLOOKUP(D49,'Form Responses 1'!B:J,2,FALSE)</f>
        <v>Jl. Yos Sudarso 331 Gombong</v>
      </c>
      <c r="F49" s="26" t="str">
        <f>VLOOKUP(D49,'Form Responses 1'!B:J,5,FALSE)</f>
        <v>Timbangan Elektronik</v>
      </c>
      <c r="G49" s="26" t="str">
        <f>VLOOKUP(D49,'Form Responses 1'!B:J,6,FALSE)</f>
        <v>AND</v>
      </c>
      <c r="H49" s="26" t="str">
        <f>VLOOKUP(D49,'Form Responses 1'!B:J,7,FALSE)</f>
        <v>HT120</v>
      </c>
      <c r="I49" s="26">
        <f>VLOOKUP(D49,'Form Responses 1'!B:J,8,FALSE)</f>
        <v>5221100034</v>
      </c>
      <c r="J49" s="26" t="str">
        <f>VLOOKUP(D49,'Form Responses 1'!B:J,9,FALSE)</f>
        <v>120 G</v>
      </c>
      <c r="K49" s="23">
        <v>46034</v>
      </c>
      <c r="L49" s="30" t="s">
        <v>1326</v>
      </c>
      <c r="M49" s="28" t="b">
        <v>1</v>
      </c>
    </row>
    <row r="50" spans="1:13" ht="12.75">
      <c r="A50" s="21"/>
      <c r="D50" s="29" t="s">
        <v>212</v>
      </c>
      <c r="E50" s="25" t="str">
        <f>VLOOKUP(D50,'Form Responses 1'!B:J,2,FALSE)</f>
        <v>Jl. Yos Sudarso 331 Gombong</v>
      </c>
      <c r="F50" s="26" t="str">
        <f>VLOOKUP(D50,'Form Responses 1'!B:J,5,FALSE)</f>
        <v>Timbangan Elektronik</v>
      </c>
      <c r="G50" s="26" t="str">
        <f>VLOOKUP(D50,'Form Responses 1'!B:J,6,FALSE)</f>
        <v>AND</v>
      </c>
      <c r="H50" s="26" t="str">
        <f>VLOOKUP(D50,'Form Responses 1'!B:J,7,FALSE)</f>
        <v>EK-410I</v>
      </c>
      <c r="I50" s="26" t="str">
        <f>VLOOKUP(D50,'Form Responses 1'!B:J,8,FALSE)</f>
        <v>6A4443253</v>
      </c>
      <c r="J50" s="26" t="str">
        <f>VLOOKUP(D50,'Form Responses 1'!B:J,9,FALSE)</f>
        <v>400 G</v>
      </c>
      <c r="L50" s="26"/>
      <c r="M50" s="28" t="b">
        <v>1</v>
      </c>
    </row>
    <row r="51" spans="1:13" ht="12.75">
      <c r="A51" s="21"/>
      <c r="D51" s="29" t="s">
        <v>214</v>
      </c>
      <c r="E51" s="25" t="str">
        <f>VLOOKUP(D51,'Form Responses 1'!B:J,2,FALSE)</f>
        <v>Jl. Yos Sudarso 331 Gombong</v>
      </c>
      <c r="F51" s="26" t="str">
        <f>VLOOKUP(D51,'Form Responses 1'!B:J,5,FALSE)</f>
        <v>Timbangan Elektronik</v>
      </c>
      <c r="G51" s="26" t="str">
        <f>VLOOKUP(D51,'Form Responses 1'!B:J,6,FALSE)</f>
        <v>AND</v>
      </c>
      <c r="H51" s="26" t="str">
        <f>VLOOKUP(D51,'Form Responses 1'!B:J,7,FALSE)</f>
        <v>HT120</v>
      </c>
      <c r="I51" s="26">
        <f>VLOOKUP(D51,'Form Responses 1'!B:J,8,FALSE)</f>
        <v>5180500095</v>
      </c>
      <c r="J51" s="26" t="str">
        <f>VLOOKUP(D51,'Form Responses 1'!B:J,9,FALSE)</f>
        <v>120 G</v>
      </c>
      <c r="L51" s="26"/>
      <c r="M51" s="28" t="b">
        <v>1</v>
      </c>
    </row>
    <row r="52" spans="1:13" ht="38.25">
      <c r="A52" s="21">
        <v>22</v>
      </c>
      <c r="B52" s="21" t="s">
        <v>1347</v>
      </c>
      <c r="C52" s="23">
        <v>46034</v>
      </c>
      <c r="D52" s="29" t="s">
        <v>215</v>
      </c>
      <c r="E52" s="25" t="str">
        <f>VLOOKUP(D52,'Form Responses 1'!B:J,2,FALSE)</f>
        <v>Jl. Raya Yos Sudarso Gombong Barat Km.3 Purbowangi Kab. Kebumen</v>
      </c>
      <c r="F52" s="26" t="str">
        <f>VLOOKUP(D52,'Form Responses 1'!B:J,5,FALSE)</f>
        <v>Timbangan Elektronik</v>
      </c>
      <c r="G52" s="26" t="str">
        <f>VLOOKUP(D52,'Form Responses 1'!B:J,6,FALSE)</f>
        <v>Great Scale</v>
      </c>
      <c r="H52" s="26" t="str">
        <f>VLOOKUP(D52,'Form Responses 1'!B:J,7,FALSE)</f>
        <v>XK-3190A7</v>
      </c>
      <c r="I52" s="26" t="str">
        <f>VLOOKUP(D52,'Form Responses 1'!B:J,8,FALSE)</f>
        <v>-</v>
      </c>
      <c r="J52" s="26" t="str">
        <f>VLOOKUP(D52,'Form Responses 1'!B:J,9,FALSE)</f>
        <v>40kg/0,001</v>
      </c>
      <c r="K52" s="23">
        <v>46034</v>
      </c>
      <c r="L52" s="30" t="s">
        <v>1326</v>
      </c>
      <c r="M52" s="28" t="b">
        <v>1</v>
      </c>
    </row>
    <row r="53" spans="1:13" ht="38.25">
      <c r="A53" s="21">
        <v>23</v>
      </c>
      <c r="B53" s="21" t="s">
        <v>1348</v>
      </c>
      <c r="C53" s="23">
        <v>46034</v>
      </c>
      <c r="D53" s="29" t="s">
        <v>221</v>
      </c>
      <c r="E53" s="25" t="str">
        <f>VLOOKUP(D53,'Form Responses 1'!B:J,2,FALSE)</f>
        <v>Jl. Raya Yos Sudarso Gombong Barat Km.3 Purbowangi Kab. Kebumen</v>
      </c>
      <c r="F53" s="26" t="str">
        <f>VLOOKUP(D53,'Form Responses 1'!B:J,5,FALSE)</f>
        <v>Anak Timbangan</v>
      </c>
      <c r="G53" s="26" t="str">
        <f>VLOOKUP(D53,'Form Responses 1'!B:J,6,FALSE)</f>
        <v>TJ</v>
      </c>
      <c r="H53" s="26" t="str">
        <f>VLOOKUP(D53,'Form Responses 1'!B:J,7,FALSE)</f>
        <v>-</v>
      </c>
      <c r="I53" s="26" t="str">
        <f>VLOOKUP(D53,'Form Responses 1'!B:J,8,FALSE)</f>
        <v>-</v>
      </c>
      <c r="J53" s="26" t="str">
        <f>VLOOKUP(D53,'Form Responses 1'!B:J,9,FALSE)</f>
        <v>20 kg</v>
      </c>
      <c r="K53" s="23">
        <v>46034</v>
      </c>
      <c r="L53" s="30" t="s">
        <v>1322</v>
      </c>
      <c r="M53" s="28" t="b">
        <v>1</v>
      </c>
    </row>
    <row r="54" spans="1:13" ht="38.25">
      <c r="A54" s="21"/>
      <c r="D54" s="29" t="s">
        <v>224</v>
      </c>
      <c r="E54" s="25" t="str">
        <f>VLOOKUP(D54,'Form Responses 1'!B:J,2,FALSE)</f>
        <v>Jl. Raya Yos Sudarso Gombong Barat Km.3 Purbowangi Kab. Kebumen</v>
      </c>
      <c r="F54" s="26" t="str">
        <f>VLOOKUP(D54,'Form Responses 1'!B:J,5,FALSE)</f>
        <v>Anak Timbangan</v>
      </c>
      <c r="G54" s="26" t="str">
        <f>VLOOKUP(D54,'Form Responses 1'!B:J,6,FALSE)</f>
        <v>-</v>
      </c>
      <c r="H54" s="26" t="str">
        <f>VLOOKUP(D54,'Form Responses 1'!B:J,7,FALSE)</f>
        <v>-</v>
      </c>
      <c r="I54" s="26" t="str">
        <f>VLOOKUP(D54,'Form Responses 1'!B:J,8,FALSE)</f>
        <v>-</v>
      </c>
      <c r="J54" s="26" t="str">
        <f>VLOOKUP(D54,'Form Responses 1'!B:J,9,FALSE)</f>
        <v>5 kg</v>
      </c>
      <c r="L54" s="26"/>
      <c r="M54" s="28" t="b">
        <v>1</v>
      </c>
    </row>
    <row r="55" spans="1:13" ht="38.25">
      <c r="A55" s="21"/>
      <c r="D55" s="29" t="s">
        <v>226</v>
      </c>
      <c r="E55" s="25" t="str">
        <f>VLOOKUP(D55,'Form Responses 1'!B:J,2,FALSE)</f>
        <v>Jl. Raya Yos Sudarso Gombong Barat Km.3 Purbowangi Kab. Kebumen</v>
      </c>
      <c r="F55" s="26" t="str">
        <f>VLOOKUP(D55,'Form Responses 1'!B:J,5,FALSE)</f>
        <v>Anak Timbangan</v>
      </c>
      <c r="G55" s="26" t="str">
        <f>VLOOKUP(D55,'Form Responses 1'!B:J,6,FALSE)</f>
        <v>-</v>
      </c>
      <c r="H55" s="26" t="str">
        <f>VLOOKUP(D55,'Form Responses 1'!B:J,7,FALSE)</f>
        <v>-</v>
      </c>
      <c r="I55" s="26" t="str">
        <f>VLOOKUP(D55,'Form Responses 1'!B:J,8,FALSE)</f>
        <v>-</v>
      </c>
      <c r="J55" s="26" t="str">
        <f>VLOOKUP(D55,'Form Responses 1'!B:J,9,FALSE)</f>
        <v>5 kg</v>
      </c>
      <c r="L55" s="26"/>
      <c r="M55" s="28" t="b">
        <v>1</v>
      </c>
    </row>
    <row r="56" spans="1:13" ht="38.25">
      <c r="A56" s="21">
        <v>24</v>
      </c>
      <c r="B56" s="21" t="s">
        <v>1349</v>
      </c>
      <c r="C56" s="23">
        <v>46034</v>
      </c>
      <c r="D56" s="29" t="s">
        <v>227</v>
      </c>
      <c r="E56" s="25" t="str">
        <f>VLOOKUP(D56,'Form Responses 1'!B:J,2,FALSE)</f>
        <v>Jl. Raya Karanganyar km.98 , Kecamatan Karanganyar, Kabupaten Kebumen</v>
      </c>
      <c r="F56" s="26" t="str">
        <f>VLOOKUP(D56,'Form Responses 1'!B:J,5,FALSE)</f>
        <v>Timbangan Elektronik</v>
      </c>
      <c r="G56" s="26" t="str">
        <f>VLOOKUP(D56,'Form Responses 1'!B:J,6,FALSE)</f>
        <v>Digitech</v>
      </c>
      <c r="H56" s="26" t="str">
        <f>VLOOKUP(D56,'Form Responses 1'!B:J,7,FALSE)</f>
        <v>DB IS</v>
      </c>
      <c r="I56" s="26" t="str">
        <f>VLOOKUP(D56,'Form Responses 1'!B:J,8,FALSE)</f>
        <v>DB25089126</v>
      </c>
      <c r="J56" s="26" t="str">
        <f>VLOOKUP(D56,'Form Responses 1'!B:J,9,FALSE)</f>
        <v>40 kg / 0,002 kg</v>
      </c>
      <c r="K56" s="23">
        <v>46034</v>
      </c>
      <c r="L56" s="30" t="s">
        <v>1326</v>
      </c>
      <c r="M56" s="28" t="b">
        <v>1</v>
      </c>
    </row>
    <row r="57" spans="1:13" ht="38.25">
      <c r="A57" s="21">
        <v>25</v>
      </c>
      <c r="B57" s="21" t="s">
        <v>1350</v>
      </c>
      <c r="C57" s="23">
        <v>46034</v>
      </c>
      <c r="D57" s="31" t="s">
        <v>234</v>
      </c>
      <c r="E57" s="25" t="str">
        <f>VLOOKUP(D57,'Form Responses 1'!B:J,2,FALSE)</f>
        <v>Jl. Raya Kutoarjo km 07, Desa Kalibagor, Kecamatan Kebumen,Kabupaten Kebumen</v>
      </c>
      <c r="F57" s="26" t="str">
        <f>VLOOKUP(D57,'Form Responses 1'!B:J,5,FALSE)</f>
        <v>PU BBM</v>
      </c>
      <c r="G57" s="26" t="str">
        <f>VLOOKUP(D57,'Form Responses 1'!B:J,6,FALSE)</f>
        <v>Wayne</v>
      </c>
      <c r="H57" s="26" t="str">
        <f>VLOOKUP(D57,'Form Responses 1'!B:J,7,FALSE)</f>
        <v>3/V390D1/GPZ5/E</v>
      </c>
      <c r="I57" s="26" t="str">
        <f>VLOOKUP(D57,'Form Responses 1'!B:J,8,FALSE)</f>
        <v>29403C A-13</v>
      </c>
      <c r="J57" s="26" t="str">
        <f>VLOOKUP(D57,'Form Responses 1'!B:J,9,FALSE)</f>
        <v>60 L/m</v>
      </c>
      <c r="K57" s="23">
        <v>46034</v>
      </c>
      <c r="L57" s="30" t="s">
        <v>1340</v>
      </c>
      <c r="M57" s="28" t="b">
        <v>1</v>
      </c>
    </row>
    <row r="58" spans="1:13" ht="38.25">
      <c r="A58" s="21"/>
      <c r="D58" s="32" t="s">
        <v>239</v>
      </c>
      <c r="E58" s="25" t="str">
        <f>VLOOKUP(D58,'Form Responses 1'!B:J,2,FALSE)</f>
        <v>Jl. Raya Kutoarjo km 07, Desa Kalibagor, Kecamatan Kebumen,Kabupaten Kebumen</v>
      </c>
      <c r="F58" s="26" t="str">
        <f>VLOOKUP(D58,'Form Responses 1'!B:J,5,FALSE)</f>
        <v>PU BBM</v>
      </c>
      <c r="G58" s="26" t="str">
        <f>VLOOKUP(D58,'Form Responses 1'!B:J,6,FALSE)</f>
        <v>Wayne</v>
      </c>
      <c r="H58" s="26" t="str">
        <f>VLOOKUP(D58,'Form Responses 1'!B:J,7,FALSE)</f>
        <v>3/V390D1/GPZ5/E</v>
      </c>
      <c r="I58" s="26" t="str">
        <f>VLOOKUP(D58,'Form Responses 1'!B:J,8,FALSE)</f>
        <v>29763C A-13</v>
      </c>
      <c r="J58" s="26" t="str">
        <f>VLOOKUP(D58,'Form Responses 1'!B:J,9,FALSE)</f>
        <v>60 L/m</v>
      </c>
      <c r="L58" s="26"/>
      <c r="M58" s="28" t="b">
        <v>1</v>
      </c>
    </row>
    <row r="59" spans="1:13" ht="38.25">
      <c r="A59" s="21"/>
      <c r="D59" s="31" t="s">
        <v>241</v>
      </c>
      <c r="E59" s="25" t="str">
        <f>VLOOKUP(D59,'Form Responses 1'!B:J,2,FALSE)</f>
        <v>Jl. Raya Kutoarjo km 07, Desa Kalibagor, Kecamatan Kebumen,Kabupaten Kebumen</v>
      </c>
      <c r="F59" s="26" t="str">
        <f>VLOOKUP(D59,'Form Responses 1'!B:J,5,FALSE)</f>
        <v>PU BBM</v>
      </c>
      <c r="G59" s="26" t="str">
        <f>VLOOKUP(D59,'Form Responses 1'!B:J,6,FALSE)</f>
        <v>Wayne</v>
      </c>
      <c r="H59" s="26" t="str">
        <f>VLOOKUP(D59,'Form Responses 1'!B:J,7,FALSE)</f>
        <v>3/V390D1/GPZ5/E</v>
      </c>
      <c r="I59" s="26" t="str">
        <f>VLOOKUP(D59,'Form Responses 1'!B:J,8,FALSE)</f>
        <v>29731C A-13</v>
      </c>
      <c r="J59" s="26" t="str">
        <f>VLOOKUP(D59,'Form Responses 1'!B:J,9,FALSE)</f>
        <v>60 L/m</v>
      </c>
      <c r="L59" s="26"/>
      <c r="M59" s="28" t="b">
        <v>1</v>
      </c>
    </row>
    <row r="60" spans="1:13" ht="51">
      <c r="A60" s="21">
        <v>26</v>
      </c>
      <c r="B60" s="21" t="s">
        <v>1351</v>
      </c>
      <c r="C60" s="23">
        <v>46035</v>
      </c>
      <c r="D60" s="32" t="s">
        <v>243</v>
      </c>
      <c r="E60" s="25" t="str">
        <f>VLOOKUP(D60,'Form Responses 1'!B:J,2,FALSE)</f>
        <v>Jl. Lkr. Selatan, Ketraman, Adikarso, Kec. Kebumen, Kabupaten Kebumen, Jawa Tengah 54312</v>
      </c>
      <c r="F60" s="26" t="str">
        <f>VLOOKUP(D60,'Form Responses 1'!B:J,5,FALSE)</f>
        <v>Timbangan Pegas</v>
      </c>
      <c r="G60" s="26" t="str">
        <f>VLOOKUP(D60,'Form Responses 1'!B:J,6,FALSE)</f>
        <v>NHON HOA</v>
      </c>
      <c r="H60" s="26" t="str">
        <f>VLOOKUP(D60,'Form Responses 1'!B:J,7,FALSE)</f>
        <v>NHS100</v>
      </c>
      <c r="I60" s="26">
        <f>VLOOKUP(D60,'Form Responses 1'!B:J,8,FALSE)</f>
        <v>3395</v>
      </c>
      <c r="J60" s="26">
        <f>VLOOKUP(D60,'Form Responses 1'!B:J,9,FALSE)</f>
        <v>100</v>
      </c>
      <c r="K60" s="23">
        <v>46035</v>
      </c>
      <c r="L60" s="30" t="s">
        <v>1326</v>
      </c>
      <c r="M60" s="28" t="b">
        <v>1</v>
      </c>
    </row>
    <row r="61" spans="1:13" ht="38.25">
      <c r="A61" s="21">
        <v>27</v>
      </c>
      <c r="B61" s="21" t="s">
        <v>1352</v>
      </c>
      <c r="C61" s="23">
        <v>46035</v>
      </c>
      <c r="D61" s="31" t="s">
        <v>246</v>
      </c>
      <c r="E61" s="25" t="str">
        <f>VLOOKUP(D61,'Form Responses 1'!B:J,2,FALSE)</f>
        <v>Jl. Raya Karanganyar km 98, Kecamatan Karanganyar, Kabupaten Kebumen</v>
      </c>
      <c r="F61" s="26" t="str">
        <f>VLOOKUP(D61,'Form Responses 1'!B:J,5,FALSE)</f>
        <v>Timbangan Elektronik</v>
      </c>
      <c r="G61" s="26" t="str">
        <f>VLOOKUP(D61,'Form Responses 1'!B:J,6,FALSE)</f>
        <v>Digitech</v>
      </c>
      <c r="H61" s="26" t="str">
        <f>VLOOKUP(D61,'Form Responses 1'!B:J,7,FALSE)</f>
        <v>DB-1S-150</v>
      </c>
      <c r="I61" s="26" t="str">
        <f>VLOOKUP(D61,'Form Responses 1'!B:J,8,FALSE)</f>
        <v>DB24128044</v>
      </c>
      <c r="J61" s="26" t="str">
        <f>VLOOKUP(D61,'Form Responses 1'!B:J,9,FALSE)</f>
        <v>40 kg / 0,002 kg</v>
      </c>
      <c r="K61" s="23">
        <v>46035</v>
      </c>
      <c r="L61" s="30" t="s">
        <v>1326</v>
      </c>
      <c r="M61" s="28" t="b">
        <v>1</v>
      </c>
    </row>
    <row r="62" spans="1:13" ht="38.25">
      <c r="A62" s="21">
        <v>28</v>
      </c>
      <c r="B62" s="21" t="s">
        <v>1353</v>
      </c>
      <c r="C62" s="23">
        <v>46035</v>
      </c>
      <c r="D62" s="32" t="s">
        <v>250</v>
      </c>
      <c r="E62" s="25" t="str">
        <f>VLOOKUP(D62,'Form Responses 1'!B:J,2,FALSE)</f>
        <v>Jl. Tentara Pelajar No. 55, Desa Kawedusan, Kecamatan Kebumen, Kabupaten Kebumen</v>
      </c>
      <c r="F62" s="26" t="str">
        <f>VLOOKUP(D62,'Form Responses 1'!B:J,5,FALSE)</f>
        <v>PU BBM</v>
      </c>
      <c r="G62" s="26" t="str">
        <f>VLOOKUP(D62,'Form Responses 1'!B:J,6,FALSE)</f>
        <v>TATSUNO</v>
      </c>
      <c r="H62" s="26" t="str">
        <f>VLOOKUP(D62,'Form Responses 1'!B:J,7,FALSE)</f>
        <v>SSA 1222</v>
      </c>
      <c r="I62" s="26" t="str">
        <f>VLOOKUP(D62,'Form Responses 1'!B:J,8,FALSE)</f>
        <v>AA219923 2013-1</v>
      </c>
      <c r="J62" s="26" t="str">
        <f>VLOOKUP(D62,'Form Responses 1'!B:J,9,FALSE)</f>
        <v>65 L/min</v>
      </c>
      <c r="K62" s="23">
        <v>46035</v>
      </c>
      <c r="L62" s="30" t="s">
        <v>1340</v>
      </c>
      <c r="M62" s="28" t="b">
        <v>1</v>
      </c>
    </row>
    <row r="63" spans="1:13" ht="38.25">
      <c r="A63" s="21"/>
      <c r="D63" s="31" t="s">
        <v>255</v>
      </c>
      <c r="E63" s="25" t="str">
        <f>VLOOKUP(D63,'Form Responses 1'!B:J,2,FALSE)</f>
        <v>Jl. Tentara Pelajar No.55, Desa Kawedusan, Kecamatan Kebumen, Kabupaten Kebumen</v>
      </c>
      <c r="F63" s="26" t="str">
        <f>VLOOKUP(D63,'Form Responses 1'!B:J,5,FALSE)</f>
        <v>PU BBM</v>
      </c>
      <c r="G63" s="26" t="str">
        <f>VLOOKUP(D63,'Form Responses 1'!B:J,6,FALSE)</f>
        <v>TATSUNO</v>
      </c>
      <c r="H63" s="26" t="str">
        <f>VLOOKUP(D63,'Form Responses 1'!B:J,7,FALSE)</f>
        <v>GSB 2441P</v>
      </c>
      <c r="I63" s="26" t="str">
        <f>VLOOKUP(D63,'Form Responses 1'!B:J,8,FALSE)</f>
        <v>AA194570 2010-9</v>
      </c>
      <c r="J63" s="26" t="str">
        <f>VLOOKUP(D63,'Form Responses 1'!B:J,9,FALSE)</f>
        <v>60 L/min</v>
      </c>
      <c r="L63" s="26"/>
      <c r="M63" s="28" t="b">
        <v>1</v>
      </c>
    </row>
    <row r="64" spans="1:13" ht="38.25">
      <c r="A64" s="21"/>
      <c r="D64" s="32" t="s">
        <v>259</v>
      </c>
      <c r="E64" s="25" t="str">
        <f>VLOOKUP(D64,'Form Responses 1'!B:J,2,FALSE)</f>
        <v>Jl. Tentara Pelajar No. 55, Desa Kawedusan, Kecamatan Kebumen, Kabupaten Kebumen</v>
      </c>
      <c r="F64" s="26" t="str">
        <f>VLOOKUP(D64,'Form Responses 1'!B:J,5,FALSE)</f>
        <v>PU BBM</v>
      </c>
      <c r="G64" s="26" t="str">
        <f>VLOOKUP(D64,'Form Responses 1'!B:J,6,FALSE)</f>
        <v>TATSUNO</v>
      </c>
      <c r="H64" s="26" t="str">
        <f>VLOOKUP(D64,'Form Responses 1'!B:J,7,FALSE)</f>
        <v>GSA 2441</v>
      </c>
      <c r="I64" s="26" t="str">
        <f>VLOOKUP(D64,'Form Responses 1'!B:J,8,FALSE)</f>
        <v>AA164079 2007-7</v>
      </c>
      <c r="J64" s="26" t="str">
        <f>VLOOKUP(D64,'Form Responses 1'!B:J,9,FALSE)</f>
        <v>60 L/min</v>
      </c>
      <c r="L64" s="26"/>
      <c r="M64" s="28" t="b">
        <v>1</v>
      </c>
    </row>
    <row r="65" spans="1:13" ht="38.25">
      <c r="A65" s="21"/>
      <c r="D65" s="31" t="s">
        <v>263</v>
      </c>
      <c r="E65" s="25" t="str">
        <f>VLOOKUP(D65,'Form Responses 1'!B:J,2,FALSE)</f>
        <v>Jl. Tentara Pelajar No. 55, Desa Kawedusan, Kecamatan Kebumen, Kabupaten Kebumen</v>
      </c>
      <c r="F65" s="26" t="str">
        <f>VLOOKUP(D65,'Form Responses 1'!B:J,5,FALSE)</f>
        <v>PU BBM</v>
      </c>
      <c r="G65" s="26" t="str">
        <f>VLOOKUP(D65,'Form Responses 1'!B:J,6,FALSE)</f>
        <v>GILBARCO</v>
      </c>
      <c r="H65" s="26" t="str">
        <f>VLOOKUP(D65,'Form Responses 1'!B:J,7,FALSE)</f>
        <v>B21</v>
      </c>
      <c r="I65" s="26" t="str">
        <f>VLOOKUP(D65,'Form Responses 1'!B:J,8,FALSE)</f>
        <v>HEPA 096522</v>
      </c>
      <c r="J65" s="26" t="str">
        <f>VLOOKUP(D65,'Form Responses 1'!B:J,9,FALSE)</f>
        <v>50 L/m</v>
      </c>
      <c r="L65" s="26"/>
      <c r="M65" s="28" t="b">
        <v>1</v>
      </c>
    </row>
    <row r="66" spans="1:13" ht="38.25">
      <c r="A66" s="21">
        <v>29</v>
      </c>
      <c r="B66" s="21" t="s">
        <v>1354</v>
      </c>
      <c r="C66" s="23">
        <v>46036</v>
      </c>
      <c r="D66" s="32" t="s">
        <v>246</v>
      </c>
      <c r="E66" s="25" t="str">
        <f>VLOOKUP(D66,'Form Responses 1'!B:J,2,FALSE)</f>
        <v>Jl. Raya Karanganyar km 98, Kecamatan Karanganyar, Kabupaten Kebumen</v>
      </c>
      <c r="F66" s="26" t="str">
        <f>VLOOKUP(D66,'Form Responses 1'!B:J,5,FALSE)</f>
        <v>Timbangan Elektronik</v>
      </c>
      <c r="G66" s="26" t="str">
        <f>VLOOKUP(D66,'Form Responses 1'!B:J,6,FALSE)</f>
        <v>Digitech</v>
      </c>
      <c r="H66" s="26" t="str">
        <f>VLOOKUP(D66,'Form Responses 1'!B:J,7,FALSE)</f>
        <v>DB-1S-150</v>
      </c>
      <c r="I66" s="26" t="str">
        <f>VLOOKUP(D66,'Form Responses 1'!B:J,8,FALSE)</f>
        <v>DB24128044</v>
      </c>
      <c r="J66" s="26" t="str">
        <f>VLOOKUP(D66,'Form Responses 1'!B:J,9,FALSE)</f>
        <v>40 kg / 0,002 kg</v>
      </c>
      <c r="K66" s="23">
        <v>46036</v>
      </c>
      <c r="L66" s="30" t="s">
        <v>1326</v>
      </c>
      <c r="M66" s="28" t="b">
        <v>1</v>
      </c>
    </row>
    <row r="67" spans="1:13" ht="38.25">
      <c r="A67" s="21">
        <v>30</v>
      </c>
      <c r="B67" s="21" t="s">
        <v>1355</v>
      </c>
      <c r="C67" s="23">
        <v>46036</v>
      </c>
      <c r="D67" s="31" t="s">
        <v>286</v>
      </c>
      <c r="E67" s="25" t="str">
        <f>VLOOKUP(D67,'Form Responses 1'!B:J,2,FALSE)</f>
        <v>Jl. Raya Karanganyar km 98, Kecamatan Karanganyar, Kabupaten Kebumen</v>
      </c>
      <c r="F67" s="26" t="str">
        <f>VLOOKUP(D67,'Form Responses 1'!B:J,5,FALSE)</f>
        <v>Timbangan Elektronik</v>
      </c>
      <c r="G67" s="26" t="str">
        <f>VLOOKUP(D67,'Form Responses 1'!B:J,6,FALSE)</f>
        <v>Digitech</v>
      </c>
      <c r="H67" s="26" t="str">
        <f>VLOOKUP(D67,'Form Responses 1'!B:J,7,FALSE)</f>
        <v>DB-1S</v>
      </c>
      <c r="I67" s="26" t="str">
        <f>VLOOKUP(D67,'Form Responses 1'!B:J,8,FALSE)</f>
        <v>-</v>
      </c>
      <c r="J67" s="26" t="str">
        <f>VLOOKUP(D67,'Form Responses 1'!B:J,9,FALSE)</f>
        <v>80 kg / 1 g</v>
      </c>
      <c r="K67" s="23">
        <v>46036</v>
      </c>
      <c r="L67" s="30" t="s">
        <v>1326</v>
      </c>
      <c r="M67" s="28" t="b">
        <v>1</v>
      </c>
    </row>
    <row r="68" spans="1:13" ht="25.5">
      <c r="A68" s="21">
        <v>31</v>
      </c>
      <c r="B68" s="21" t="s">
        <v>1356</v>
      </c>
      <c r="C68" s="23">
        <v>46036</v>
      </c>
      <c r="D68" s="32" t="s">
        <v>274</v>
      </c>
      <c r="E68" s="25" t="str">
        <f>VLOOKUP(D68,'Form Responses 1'!B:J,2,FALSE)</f>
        <v>Jl. Hashim Asyari Km 2, kelurahan panjer, kabupaten kebumen</v>
      </c>
      <c r="F68" s="26" t="str">
        <f>VLOOKUP(D68,'Form Responses 1'!B:J,5,FALSE)</f>
        <v>PU BBM</v>
      </c>
      <c r="G68" s="26" t="str">
        <f>VLOOKUP(D68,'Form Responses 1'!B:J,6,FALSE)</f>
        <v>Korea Ene</v>
      </c>
      <c r="H68" s="26" t="str">
        <f>VLOOKUP(D68,'Form Responses 1'!B:J,7,FALSE)</f>
        <v>MT 2 S</v>
      </c>
      <c r="I68" s="26" t="str">
        <f>VLOOKUP(D68,'Form Responses 1'!B:J,8,FALSE)</f>
        <v>EO 6630, EO 6631</v>
      </c>
      <c r="J68" s="26" t="str">
        <f>VLOOKUP(D68,'Form Responses 1'!B:J,9,FALSE)</f>
        <v>50 L/m</v>
      </c>
      <c r="K68" s="23">
        <v>46036</v>
      </c>
      <c r="L68" s="30" t="s">
        <v>1340</v>
      </c>
      <c r="M68" s="28" t="b">
        <v>1</v>
      </c>
    </row>
    <row r="69" spans="1:13" ht="25.5">
      <c r="A69" s="21"/>
      <c r="D69" s="31" t="s">
        <v>289</v>
      </c>
      <c r="E69" s="25" t="str">
        <f>VLOOKUP(D69,'Form Responses 1'!B:J,2,FALSE)</f>
        <v>Jl. Hashim Asyari Km 2, kelurahan panjer, kabupaten kebumen</v>
      </c>
      <c r="F69" s="26" t="str">
        <f>VLOOKUP(D69,'Form Responses 1'!B:J,5,FALSE)</f>
        <v>PU BBM</v>
      </c>
      <c r="G69" s="26" t="str">
        <f>VLOOKUP(D69,'Form Responses 1'!B:J,6,FALSE)</f>
        <v>Korea EnE</v>
      </c>
      <c r="H69" s="26" t="str">
        <f>VLOOKUP(D69,'Form Responses 1'!B:J,7,FALSE)</f>
        <v xml:space="preserve"> MT 4 S</v>
      </c>
      <c r="I69" s="26" t="str">
        <f>VLOOKUP(D69,'Form Responses 1'!B:J,8,FALSE)</f>
        <v>EO 7574, EO 7575</v>
      </c>
      <c r="J69" s="26" t="str">
        <f>VLOOKUP(D69,'Form Responses 1'!B:J,9,FALSE)</f>
        <v>50 L/m</v>
      </c>
      <c r="L69" s="26"/>
      <c r="M69" s="28" t="b">
        <v>1</v>
      </c>
    </row>
    <row r="70" spans="1:13" ht="25.5">
      <c r="A70" s="21"/>
      <c r="D70" s="32" t="s">
        <v>292</v>
      </c>
      <c r="E70" s="25" t="str">
        <f>VLOOKUP(D70,'Form Responses 1'!B:J,2,FALSE)</f>
        <v>Jl. Hashim Asyari Km 2, kelurahan panjer, kabupaten kebumen</v>
      </c>
      <c r="F70" s="26" t="str">
        <f>VLOOKUP(D70,'Form Responses 1'!B:J,5,FALSE)</f>
        <v>PU BBM</v>
      </c>
      <c r="G70" s="26" t="str">
        <f>VLOOKUP(D70,'Form Responses 1'!B:J,6,FALSE)</f>
        <v>Korea EnE</v>
      </c>
      <c r="H70" s="26" t="str">
        <f>VLOOKUP(D70,'Form Responses 1'!B:J,7,FALSE)</f>
        <v>MT 4 S</v>
      </c>
      <c r="I70" s="26" t="str">
        <f>VLOOKUP(D70,'Form Responses 1'!B:J,8,FALSE)</f>
        <v>EO 7373</v>
      </c>
      <c r="J70" s="26" t="str">
        <f>VLOOKUP(D70,'Form Responses 1'!B:J,9,FALSE)</f>
        <v>50 L/m</v>
      </c>
      <c r="L70" s="26"/>
      <c r="M70" s="28" t="b">
        <v>1</v>
      </c>
    </row>
    <row r="71" spans="1:13" ht="25.5">
      <c r="A71" s="21">
        <v>32</v>
      </c>
      <c r="B71" s="21" t="s">
        <v>1357</v>
      </c>
      <c r="C71" s="23">
        <v>46036</v>
      </c>
      <c r="D71" s="31" t="s">
        <v>268</v>
      </c>
      <c r="E71" s="25" t="str">
        <f>VLOOKUP(D71,'Form Responses 1'!B:J,2,FALSE)</f>
        <v xml:space="preserve">Setrojenar RT 1 RW 3 Buluspesantren Kebumen </v>
      </c>
      <c r="F71" s="26" t="str">
        <f>VLOOKUP(D71,'Form Responses 1'!B:J,5,FALSE)</f>
        <v>Neraca Obat</v>
      </c>
      <c r="G71" s="26" t="str">
        <f>VLOOKUP(D71,'Form Responses 1'!B:J,6,FALSE)</f>
        <v>PGB</v>
      </c>
      <c r="H71" s="26" t="str">
        <f>VLOOKUP(D71,'Form Responses 1'!B:J,7,FALSE)</f>
        <v>-</v>
      </c>
      <c r="I71" s="26">
        <f>VLOOKUP(D71,'Form Responses 1'!B:J,8,FALSE)</f>
        <v>16129</v>
      </c>
      <c r="J71" s="26" t="str">
        <f>VLOOKUP(D71,'Form Responses 1'!B:J,9,FALSE)</f>
        <v>50 g / 25 mg</v>
      </c>
      <c r="K71" s="23">
        <v>46036</v>
      </c>
      <c r="L71" s="30" t="s">
        <v>1326</v>
      </c>
      <c r="M71" s="28" t="b">
        <v>1</v>
      </c>
    </row>
    <row r="72" spans="1:13" ht="38.25">
      <c r="A72" s="21">
        <v>33</v>
      </c>
      <c r="B72" s="21" t="s">
        <v>1358</v>
      </c>
      <c r="C72" s="23">
        <v>46036</v>
      </c>
      <c r="D72" s="32" t="s">
        <v>295</v>
      </c>
      <c r="E72" s="25" t="str">
        <f>VLOOKUP(D72,'Form Responses 1'!B:J,2,FALSE)</f>
        <v>Sarwogadung RT 2 RW 1, Kecamatan Mirit, Kabupaten Kebumen</v>
      </c>
      <c r="F72" s="26" t="str">
        <f>VLOOKUP(D72,'Form Responses 1'!B:J,5,FALSE)</f>
        <v>Neraca Obat</v>
      </c>
      <c r="G72" s="26" t="str">
        <f>VLOOKUP(D72,'Form Responses 1'!B:J,6,FALSE)</f>
        <v>SNS</v>
      </c>
      <c r="H72" s="26" t="str">
        <f>VLOOKUP(D72,'Form Responses 1'!B:J,7,FALSE)</f>
        <v>-</v>
      </c>
      <c r="I72" s="26">
        <f>VLOOKUP(D72,'Form Responses 1'!B:J,8,FALSE)</f>
        <v>21403</v>
      </c>
      <c r="J72" s="26" t="str">
        <f>VLOOKUP(D72,'Form Responses 1'!B:J,9,FALSE)</f>
        <v>500 g / 250 mg</v>
      </c>
      <c r="K72" s="23">
        <v>46036</v>
      </c>
      <c r="L72" s="30" t="s">
        <v>1326</v>
      </c>
      <c r="M72" s="28" t="b">
        <v>1</v>
      </c>
    </row>
    <row r="73" spans="1:13" ht="12.75">
      <c r="A73" s="21">
        <v>34</v>
      </c>
      <c r="B73" s="21" t="s">
        <v>1359</v>
      </c>
      <c r="C73" s="23">
        <v>46037</v>
      </c>
      <c r="D73" s="31" t="s">
        <v>300</v>
      </c>
      <c r="E73" s="25" t="str">
        <f>VLOOKUP(D73,'Form Responses 1'!B:J,2,FALSE)</f>
        <v xml:space="preserve">Jalan Indrakila no.32 Kebumen </v>
      </c>
      <c r="F73" s="26" t="str">
        <f>VLOOKUP(D73,'Form Responses 1'!B:J,5,FALSE)</f>
        <v>Timbangan Elektronik</v>
      </c>
      <c r="G73" s="26" t="str">
        <f>VLOOKUP(D73,'Form Responses 1'!B:J,6,FALSE)</f>
        <v>ACIS</v>
      </c>
      <c r="H73" s="26" t="str">
        <f>VLOOKUP(D73,'Form Responses 1'!B:J,7,FALSE)</f>
        <v xml:space="preserve">AW-x 3 </v>
      </c>
      <c r="I73" s="26" t="str">
        <f>VLOOKUP(D73,'Form Responses 1'!B:J,8,FALSE)</f>
        <v>F804049027</v>
      </c>
      <c r="J73" s="26" t="str">
        <f>VLOOKUP(D73,'Form Responses 1'!B:J,9,FALSE)</f>
        <v>3 Kg / 0.2 g</v>
      </c>
      <c r="K73" s="23">
        <v>46037</v>
      </c>
      <c r="L73" s="30" t="s">
        <v>1322</v>
      </c>
      <c r="M73" s="28" t="b">
        <v>1</v>
      </c>
    </row>
    <row r="74" spans="1:13" ht="51">
      <c r="A74" s="21">
        <v>35</v>
      </c>
      <c r="B74" s="21" t="s">
        <v>1360</v>
      </c>
      <c r="C74" s="23">
        <v>46037</v>
      </c>
      <c r="D74" s="32" t="s">
        <v>306</v>
      </c>
      <c r="E74" s="25" t="str">
        <f>VLOOKUP(D74,'Form Responses 1'!B:J,2,FALSE)</f>
        <v>Jl. Raya Kutowinangun, Desa Ungaran, Kecamatan Kutowinangun, Kabupaten Kebumen</v>
      </c>
      <c r="F74" s="26" t="str">
        <f>VLOOKUP(D74,'Form Responses 1'!B:J,5,FALSE)</f>
        <v>PU BBM</v>
      </c>
      <c r="G74" s="26" t="str">
        <f>VLOOKUP(D74,'Form Responses 1'!B:J,6,FALSE)</f>
        <v xml:space="preserve">GILBARCO </v>
      </c>
      <c r="H74" s="26" t="str">
        <f>VLOOKUP(D74,'Form Responses 1'!B:J,7,FALSE)</f>
        <v>B21</v>
      </c>
      <c r="I74" s="26" t="str">
        <f>VLOOKUP(D74,'Form Responses 1'!B:J,8,FALSE)</f>
        <v>BKPA 223463</v>
      </c>
      <c r="J74" s="26" t="str">
        <f>VLOOKUP(D74,'Form Responses 1'!B:J,9,FALSE)</f>
        <v>50 L/m</v>
      </c>
      <c r="K74" s="23">
        <v>46037</v>
      </c>
      <c r="L74" s="30" t="s">
        <v>1340</v>
      </c>
      <c r="M74" s="28" t="b">
        <v>1</v>
      </c>
    </row>
    <row r="75" spans="1:13" ht="51">
      <c r="A75" s="21"/>
      <c r="D75" s="31" t="s">
        <v>310</v>
      </c>
      <c r="E75" s="25" t="str">
        <f>VLOOKUP(D75,'Form Responses 1'!B:J,2,FALSE)</f>
        <v>Jl. Raya Kutowinangun, Desa Ungaran, Kecamatan Kutowinangun, Kabupaten Kebumen</v>
      </c>
      <c r="F75" s="26" t="str">
        <f>VLOOKUP(D75,'Form Responses 1'!B:J,5,FALSE)</f>
        <v>PU BBM</v>
      </c>
      <c r="G75" s="26" t="str">
        <f>VLOOKUP(D75,'Form Responses 1'!B:J,6,FALSE)</f>
        <v xml:space="preserve">GILBARCO </v>
      </c>
      <c r="H75" s="26" t="str">
        <f>VLOOKUP(D75,'Form Responses 1'!B:J,7,FALSE)</f>
        <v>F230</v>
      </c>
      <c r="I75" s="26" t="str">
        <f>VLOOKUP(D75,'Form Responses 1'!B:J,8,FALSE)</f>
        <v>202006000343-4DPE</v>
      </c>
      <c r="J75" s="26" t="str">
        <f>VLOOKUP(D75,'Form Responses 1'!B:J,9,FALSE)</f>
        <v>60 L/m</v>
      </c>
      <c r="K75" s="23">
        <v>46037</v>
      </c>
      <c r="L75" s="26"/>
      <c r="M75" s="28" t="b">
        <v>1</v>
      </c>
    </row>
    <row r="76" spans="1:13" ht="51">
      <c r="A76" s="21"/>
      <c r="D76" s="32" t="s">
        <v>313</v>
      </c>
      <c r="E76" s="25" t="str">
        <f>VLOOKUP(D76,'Form Responses 1'!B:J,2,FALSE)</f>
        <v>Jl. Raya Kutowinangun, Desa Ungaran, Kecamatan Kutowinangun, Kabupaten Kebumen</v>
      </c>
      <c r="F76" s="26" t="str">
        <f>VLOOKUP(D76,'Form Responses 1'!B:J,5,FALSE)</f>
        <v>PU BBM</v>
      </c>
      <c r="G76" s="26" t="str">
        <f>VLOOKUP(D76,'Form Responses 1'!B:J,6,FALSE)</f>
        <v xml:space="preserve">GILBARCO </v>
      </c>
      <c r="H76" s="26" t="str">
        <f>VLOOKUP(D76,'Form Responses 1'!B:J,7,FALSE)</f>
        <v>B21</v>
      </c>
      <c r="I76" s="26" t="str">
        <f>VLOOKUP(D76,'Form Responses 1'!B:J,8,FALSE)</f>
        <v>FKPA 228627</v>
      </c>
      <c r="J76" s="26" t="str">
        <f>VLOOKUP(D76,'Form Responses 1'!B:J,9,FALSE)</f>
        <v>50 L/m</v>
      </c>
      <c r="K76" s="23">
        <v>46037</v>
      </c>
      <c r="L76" s="26"/>
      <c r="M76" s="28" t="b">
        <v>1</v>
      </c>
    </row>
    <row r="77" spans="1:13" ht="51">
      <c r="A77" s="21"/>
      <c r="D77" s="31" t="s">
        <v>315</v>
      </c>
      <c r="E77" s="25" t="str">
        <f>VLOOKUP(D77,'Form Responses 1'!B:J,2,FALSE)</f>
        <v>Jl. Raya Kutowinangun, Desa Ungaran, Kecamatan Kutowinangun, Kabupaten Kebumen</v>
      </c>
      <c r="F77" s="26" t="str">
        <f>VLOOKUP(D77,'Form Responses 1'!B:J,5,FALSE)</f>
        <v>PU BBM</v>
      </c>
      <c r="G77" s="26" t="str">
        <f>VLOOKUP(D77,'Form Responses 1'!B:J,6,FALSE)</f>
        <v xml:space="preserve">GILBARCO </v>
      </c>
      <c r="H77" s="26" t="str">
        <f>VLOOKUP(D77,'Form Responses 1'!B:J,7,FALSE)</f>
        <v>JEA200</v>
      </c>
      <c r="I77" s="26" t="str">
        <f>VLOOKUP(D77,'Form Responses 1'!B:J,8,FALSE)</f>
        <v>01300010</v>
      </c>
      <c r="J77" s="26" t="str">
        <f>VLOOKUP(D77,'Form Responses 1'!B:J,9,FALSE)</f>
        <v>50 L/m</v>
      </c>
      <c r="K77" s="23">
        <v>46037</v>
      </c>
      <c r="L77" s="26"/>
      <c r="M77" s="28" t="b">
        <v>1</v>
      </c>
    </row>
    <row r="78" spans="1:13" ht="38.25">
      <c r="A78" s="21">
        <v>36</v>
      </c>
      <c r="B78" s="29" t="s">
        <v>1361</v>
      </c>
      <c r="C78" s="23">
        <v>46041</v>
      </c>
      <c r="D78" s="32" t="s">
        <v>318</v>
      </c>
      <c r="E78" s="25" t="str">
        <f>VLOOKUP(D78,'Form Responses 1'!B:J,2,FALSE)</f>
        <v>Jl. Lingkar Selatan Kebumen, Desa Kuwayuhan, Kecamatan Pejagoan, Kabupaten Kebumen</v>
      </c>
      <c r="F78" s="26" t="str">
        <f>VLOOKUP(D78,'Form Responses 1'!B:J,5,FALSE)</f>
        <v>Timbangan Elektronik</v>
      </c>
      <c r="G78" s="26" t="str">
        <f>VLOOKUP(D78,'Form Responses 1'!B:J,6,FALSE)</f>
        <v>DIGITECH</v>
      </c>
      <c r="H78" s="26" t="str">
        <f>VLOOKUP(D78,'Form Responses 1'!B:J,7,FALSE)</f>
        <v>DB-1S</v>
      </c>
      <c r="I78" s="26" t="str">
        <f>VLOOKUP(D78,'Form Responses 1'!B:J,8,FALSE)</f>
        <v>DB 24128070</v>
      </c>
      <c r="J78" s="26" t="str">
        <f>VLOOKUP(D78,'Form Responses 1'!B:J,9,FALSE)</f>
        <v>30 kg / 0,001 kg</v>
      </c>
      <c r="K78" s="23">
        <v>46041</v>
      </c>
      <c r="L78" s="30" t="s">
        <v>1326</v>
      </c>
      <c r="M78" s="28" t="b">
        <v>1</v>
      </c>
    </row>
    <row r="79" spans="1:13" ht="38.25">
      <c r="A79" s="21"/>
      <c r="D79" s="31" t="s">
        <v>323</v>
      </c>
      <c r="E79" s="25" t="str">
        <f>VLOOKUP(D79,'Form Responses 1'!B:J,2,FALSE)</f>
        <v>Jl. Lingkar Selatan Kebumen, Desa Kuwayuhan, Kecamatan Pejagoan, Kabupaten Kebumen</v>
      </c>
      <c r="F79" s="26" t="str">
        <f>VLOOKUP(D79,'Form Responses 1'!B:J,5,FALSE)</f>
        <v>Timbangan Elektronik</v>
      </c>
      <c r="G79" s="26" t="str">
        <f>VLOOKUP(D79,'Form Responses 1'!B:J,6,FALSE)</f>
        <v>DIGITECH</v>
      </c>
      <c r="H79" s="26" t="str">
        <f>VLOOKUP(D79,'Form Responses 1'!B:J,7,FALSE)</f>
        <v>DB-1S</v>
      </c>
      <c r="I79" s="26" t="str">
        <f>VLOOKUP(D79,'Form Responses 1'!B:J,8,FALSE)</f>
        <v>-</v>
      </c>
      <c r="J79" s="26" t="str">
        <f>VLOOKUP(D79,'Form Responses 1'!B:J,9,FALSE)</f>
        <v>30 kg / 0,001 kg</v>
      </c>
      <c r="L79" s="26"/>
      <c r="M79" s="28" t="b">
        <v>1</v>
      </c>
    </row>
    <row r="80" spans="1:13" ht="38.25">
      <c r="A80" s="21"/>
      <c r="D80" s="32" t="s">
        <v>324</v>
      </c>
      <c r="E80" s="25" t="str">
        <f>VLOOKUP(D80,'Form Responses 1'!B:J,2,FALSE)</f>
        <v>Jl. Lingkar Selatan Kebumen, Desa Kuwayuhan, Kecamatan Pejagoan, Kabupaten Kebumen</v>
      </c>
      <c r="F80" s="26" t="str">
        <f>VLOOKUP(D80,'Form Responses 1'!B:J,5,FALSE)</f>
        <v>Timbangan Elektronik</v>
      </c>
      <c r="G80" s="26" t="str">
        <f>VLOOKUP(D80,'Form Responses 1'!B:J,6,FALSE)</f>
        <v>DIGITECH</v>
      </c>
      <c r="H80" s="26" t="str">
        <f>VLOOKUP(D80,'Form Responses 1'!B:J,7,FALSE)</f>
        <v>DB-1S</v>
      </c>
      <c r="I80" s="26" t="str">
        <f>VLOOKUP(D80,'Form Responses 1'!B:J,8,FALSE)</f>
        <v>171020011T</v>
      </c>
      <c r="J80" s="26" t="str">
        <f>VLOOKUP(D80,'Form Responses 1'!B:J,9,FALSE)</f>
        <v>30 kg / 0,001 kg</v>
      </c>
      <c r="L80" s="26"/>
      <c r="M80" s="28" t="b">
        <v>1</v>
      </c>
    </row>
    <row r="81" spans="1:13" ht="38.25">
      <c r="A81" s="21"/>
      <c r="D81" s="31" t="s">
        <v>326</v>
      </c>
      <c r="E81" s="25" t="str">
        <f>VLOOKUP(D81,'Form Responses 1'!B:J,2,FALSE)</f>
        <v>Jl. Lingkar Selatan Kebumen, Desa Kuwayuhan, Kecamatan Pejagoan, Kabupaten Kebumen</v>
      </c>
      <c r="F81" s="26" t="str">
        <f>VLOOKUP(D81,'Form Responses 1'!B:J,5,FALSE)</f>
        <v>Timbangan Elektronik</v>
      </c>
      <c r="G81" s="26" t="str">
        <f>VLOOKUP(D81,'Form Responses 1'!B:J,6,FALSE)</f>
        <v xml:space="preserve">DIGITECH </v>
      </c>
      <c r="H81" s="26" t="str">
        <f>VLOOKUP(D81,'Form Responses 1'!B:J,7,FALSE)</f>
        <v>DB-1S</v>
      </c>
      <c r="I81" s="26" t="str">
        <f>VLOOKUP(D81,'Form Responses 1'!B:J,8,FALSE)</f>
        <v>DB 24128041</v>
      </c>
      <c r="J81" s="26" t="str">
        <f>VLOOKUP(D81,'Form Responses 1'!B:J,9,FALSE)</f>
        <v>80 kg / 0,001 kg</v>
      </c>
      <c r="L81" s="26"/>
      <c r="M81" s="28" t="b">
        <v>1</v>
      </c>
    </row>
    <row r="82" spans="1:13" ht="38.25">
      <c r="A82" s="21"/>
      <c r="D82" s="32" t="s">
        <v>330</v>
      </c>
      <c r="E82" s="25" t="str">
        <f>VLOOKUP(D82,'Form Responses 1'!B:J,2,FALSE)</f>
        <v>Jl. Lingkar Selatan Kebumen, Desa Kuwayuhan, Kecamatan Pejagoan, Kabupaten Kebumen</v>
      </c>
      <c r="F82" s="26" t="str">
        <f>VLOOKUP(D82,'Form Responses 1'!B:J,5,FALSE)</f>
        <v>Timbangan Elektronik</v>
      </c>
      <c r="G82" s="26" t="str">
        <f>VLOOKUP(D82,'Form Responses 1'!B:J,6,FALSE)</f>
        <v>SONIC</v>
      </c>
      <c r="H82" s="26" t="str">
        <f>VLOOKUP(D82,'Form Responses 1'!B:J,7,FALSE)</f>
        <v>A12E-150</v>
      </c>
      <c r="I82" s="26" t="str">
        <f>VLOOKUP(D82,'Form Responses 1'!B:J,8,FALSE)</f>
        <v>IMI24080304</v>
      </c>
      <c r="J82" s="26" t="str">
        <f>VLOOKUP(D82,'Form Responses 1'!B:J,9,FALSE)</f>
        <v>40 kg / 0,002 kg</v>
      </c>
      <c r="L82" s="26"/>
      <c r="M82" s="28" t="b">
        <v>1</v>
      </c>
    </row>
    <row r="83" spans="1:13" ht="38.25">
      <c r="A83" s="21"/>
      <c r="D83" s="31" t="s">
        <v>333</v>
      </c>
      <c r="E83" s="25" t="str">
        <f>VLOOKUP(D83,'Form Responses 1'!B:J,2,FALSE)</f>
        <v>Jl. Lingkar Selatan Kebumen, Desa Kuwayuhan, Kecamatan Pejagoan, Kabupaten Kebumen</v>
      </c>
      <c r="F83" s="26" t="str">
        <f>VLOOKUP(D83,'Form Responses 1'!B:J,5,FALSE)</f>
        <v>Timbangan Elektronik</v>
      </c>
      <c r="G83" s="26" t="str">
        <f>VLOOKUP(D83,'Form Responses 1'!B:J,6,FALSE)</f>
        <v>SONIC</v>
      </c>
      <c r="H83" s="26" t="str">
        <f>VLOOKUP(D83,'Form Responses 1'!B:J,7,FALSE)</f>
        <v>A12E-150</v>
      </c>
      <c r="I83" s="26" t="str">
        <f>VLOOKUP(D83,'Form Responses 1'!B:J,8,FALSE)</f>
        <v>IMI24080301</v>
      </c>
      <c r="J83" s="26" t="str">
        <f>VLOOKUP(D83,'Form Responses 1'!B:J,9,FALSE)</f>
        <v>40 kg / 0,002 kg</v>
      </c>
      <c r="L83" s="26"/>
      <c r="M83" s="28" t="b">
        <v>1</v>
      </c>
    </row>
    <row r="84" spans="1:13" ht="38.25">
      <c r="A84" s="21">
        <v>37</v>
      </c>
      <c r="B84" s="29" t="s">
        <v>1362</v>
      </c>
      <c r="C84" s="23">
        <v>46041</v>
      </c>
      <c r="D84" s="32" t="s">
        <v>335</v>
      </c>
      <c r="E84" s="25" t="str">
        <f>VLOOKUP(D84,'Form Responses 1'!B:J,2,FALSE)</f>
        <v>Jl. Lingkar Selatan Kebumen, Desa Kuwayuhan, Kecamatan Pejagoan, Kabupaten Kebumen</v>
      </c>
      <c r="F84" s="26" t="str">
        <f>VLOOKUP(D84,'Form Responses 1'!B:J,5,FALSE)</f>
        <v>Anak Timbangan</v>
      </c>
      <c r="G84" s="26" t="str">
        <f>VLOOKUP(D84,'Form Responses 1'!B:J,6,FALSE)</f>
        <v>DL4</v>
      </c>
      <c r="H84" s="26" t="str">
        <f>VLOOKUP(D84,'Form Responses 1'!B:J,7,FALSE)</f>
        <v>-</v>
      </c>
      <c r="I84" s="26" t="str">
        <f>VLOOKUP(D84,'Form Responses 1'!B:J,8,FALSE)</f>
        <v>-</v>
      </c>
      <c r="J84" s="26" t="str">
        <f>VLOOKUP(D84,'Form Responses 1'!B:J,9,FALSE)</f>
        <v>20 kg</v>
      </c>
      <c r="K84" s="23">
        <v>46041</v>
      </c>
      <c r="L84" s="30" t="s">
        <v>1322</v>
      </c>
      <c r="M84" s="28" t="b">
        <v>1</v>
      </c>
    </row>
    <row r="85" spans="1:13" ht="38.25">
      <c r="A85" s="21"/>
      <c r="D85" s="31" t="s">
        <v>337</v>
      </c>
      <c r="E85" s="25" t="str">
        <f>VLOOKUP(D85,'Form Responses 1'!B:J,2,FALSE)</f>
        <v>Jl. Lingkar Selatan Kebumen, Desa Kuwayuhan, Kecamatan Pejagoan, Kabupaten Kebumen</v>
      </c>
      <c r="F85" s="26" t="str">
        <f>VLOOKUP(D85,'Form Responses 1'!B:J,5,FALSE)</f>
        <v>Anak Timbangan</v>
      </c>
      <c r="G85" s="26" t="str">
        <f>VLOOKUP(D85,'Form Responses 1'!B:J,6,FALSE)</f>
        <v>-</v>
      </c>
      <c r="H85" s="26" t="str">
        <f>VLOOKUP(D85,'Form Responses 1'!B:J,7,FALSE)</f>
        <v>-</v>
      </c>
      <c r="I85" s="26" t="str">
        <f>VLOOKUP(D85,'Form Responses 1'!B:J,8,FALSE)</f>
        <v>-</v>
      </c>
      <c r="J85" s="26" t="str">
        <f>VLOOKUP(D85,'Form Responses 1'!B:J,9,FALSE)</f>
        <v>10 kg</v>
      </c>
      <c r="L85" s="26"/>
      <c r="M85" s="28" t="b">
        <v>1</v>
      </c>
    </row>
    <row r="86" spans="1:13" ht="51">
      <c r="A86" s="21">
        <v>38</v>
      </c>
      <c r="B86" s="29" t="s">
        <v>1363</v>
      </c>
      <c r="C86" s="23">
        <v>46041</v>
      </c>
      <c r="D86" s="32" t="s">
        <v>343</v>
      </c>
      <c r="E86" s="25" t="str">
        <f>VLOOKUP(D86,'Form Responses 1'!B:J,2,FALSE)</f>
        <v xml:space="preserve">Jl. Lingkar selatan Kebumen, Kelurahan Tamanwinangun, Kecamatan Kebumen, Kabupaten Kebumen </v>
      </c>
      <c r="F86" s="26" t="str">
        <f>VLOOKUP(D86,'Form Responses 1'!B:J,5,FALSE)</f>
        <v>PU BBM</v>
      </c>
      <c r="G86" s="26" t="str">
        <f>VLOOKUP(D86,'Form Responses 1'!B:J,6,FALSE)</f>
        <v>TATSUNO</v>
      </c>
      <c r="H86" s="26" t="str">
        <f>VLOOKUP(D86,'Form Responses 1'!B:J,7,FALSE)</f>
        <v xml:space="preserve">GSB 3641 P </v>
      </c>
      <c r="I86" s="26" t="str">
        <f>VLOOKUP(D86,'Form Responses 1'!B:J,8,FALSE)</f>
        <v>192317 2010-6</v>
      </c>
      <c r="J86" s="26" t="str">
        <f>VLOOKUP(D86,'Form Responses 1'!B:J,9,FALSE)</f>
        <v>60 L/m</v>
      </c>
      <c r="K86" s="23">
        <v>46041</v>
      </c>
      <c r="L86" s="30" t="s">
        <v>1364</v>
      </c>
      <c r="M86" s="28" t="b">
        <v>1</v>
      </c>
    </row>
    <row r="87" spans="1:13" ht="51">
      <c r="A87" s="21"/>
      <c r="D87" s="31" t="s">
        <v>348</v>
      </c>
      <c r="E87" s="25" t="str">
        <f>VLOOKUP(D87,'Form Responses 1'!B:J,2,FALSE)</f>
        <v xml:space="preserve">Jl. Lingkar selatan Kebumen, Kelurahan Tamanwinangun, Kecamatan Kebumen, Kabupaten Kebumen </v>
      </c>
      <c r="F87" s="26" t="str">
        <f>VLOOKUP(D87,'Form Responses 1'!B:J,5,FALSE)</f>
        <v>PU BBM</v>
      </c>
      <c r="G87" s="26" t="str">
        <f>VLOOKUP(D87,'Form Responses 1'!B:J,6,FALSE)</f>
        <v xml:space="preserve">TATSUNO </v>
      </c>
      <c r="H87" s="26" t="str">
        <f>VLOOKUP(D87,'Form Responses 1'!B:J,7,FALSE)</f>
        <v>SSB 3664</v>
      </c>
      <c r="I87" s="26" t="str">
        <f>VLOOKUP(D87,'Form Responses 1'!B:J,8,FALSE)</f>
        <v>AA 248579 2015-9</v>
      </c>
      <c r="J87" s="26" t="str">
        <f>VLOOKUP(D87,'Form Responses 1'!B:J,9,FALSE)</f>
        <v>65 L/m</v>
      </c>
      <c r="L87" s="26"/>
      <c r="M87" s="28" t="b">
        <v>1</v>
      </c>
    </row>
    <row r="88" spans="1:13" ht="51">
      <c r="A88" s="21"/>
      <c r="D88" s="32" t="s">
        <v>352</v>
      </c>
      <c r="E88" s="25" t="str">
        <f>VLOOKUP(D88,'Form Responses 1'!B:J,2,FALSE)</f>
        <v xml:space="preserve">Jl. Lingkar selatan Kebumen, Kelurahan Tamanwinangun, Kecamatan Kebumen, Kabupaten Kebumen </v>
      </c>
      <c r="F88" s="26" t="str">
        <f>VLOOKUP(D88,'Form Responses 1'!B:J,5,FALSE)</f>
        <v>PU BBM</v>
      </c>
      <c r="G88" s="26" t="str">
        <f>VLOOKUP(D88,'Form Responses 1'!B:J,6,FALSE)</f>
        <v xml:space="preserve">TATSUNO </v>
      </c>
      <c r="H88" s="26" t="str">
        <f>VLOOKUP(D88,'Form Responses 1'!B:J,7,FALSE)</f>
        <v xml:space="preserve">SSB 2442 </v>
      </c>
      <c r="I88" s="26" t="str">
        <f>VLOOKUP(D88,'Form Responses 1'!B:J,8,FALSE)</f>
        <v xml:space="preserve">AA 233399 2014-3 </v>
      </c>
      <c r="J88" s="26" t="str">
        <f>VLOOKUP(D88,'Form Responses 1'!B:J,9,FALSE)</f>
        <v>65 L/m</v>
      </c>
      <c r="L88" s="26"/>
      <c r="M88" s="28" t="b">
        <v>1</v>
      </c>
    </row>
    <row r="89" spans="1:13" ht="51">
      <c r="A89" s="21"/>
      <c r="D89" s="31" t="s">
        <v>355</v>
      </c>
      <c r="E89" s="25" t="str">
        <f>VLOOKUP(D89,'Form Responses 1'!B:J,2,FALSE)</f>
        <v xml:space="preserve">Jl. Lingkar selatan Kebumen, Kelurahan Tamanwinangun, Kecamatan Kebumen, Kabupaten Kebumen </v>
      </c>
      <c r="F89" s="26" t="str">
        <f>VLOOKUP(D89,'Form Responses 1'!B:J,5,FALSE)</f>
        <v>PU BBM</v>
      </c>
      <c r="G89" s="26" t="str">
        <f>VLOOKUP(D89,'Form Responses 1'!B:J,6,FALSE)</f>
        <v xml:space="preserve">TATSUNO </v>
      </c>
      <c r="H89" s="26" t="str">
        <f>VLOOKUP(D89,'Form Responses 1'!B:J,7,FALSE)</f>
        <v xml:space="preserve">GSA 2441 </v>
      </c>
      <c r="I89" s="26" t="str">
        <f>VLOOKUP(D89,'Form Responses 1'!B:J,8,FALSE)</f>
        <v xml:space="preserve">AA 158957 2007-1 </v>
      </c>
      <c r="J89" s="26" t="str">
        <f>VLOOKUP(D89,'Form Responses 1'!B:J,9,FALSE)</f>
        <v>60 L/m</v>
      </c>
      <c r="L89" s="26"/>
      <c r="M89" s="28" t="b">
        <v>1</v>
      </c>
    </row>
    <row r="90" spans="1:13" ht="51">
      <c r="A90" s="21">
        <v>39</v>
      </c>
      <c r="B90" s="29" t="s">
        <v>1365</v>
      </c>
      <c r="C90" s="23">
        <v>46042</v>
      </c>
      <c r="D90" s="33" t="s">
        <v>339</v>
      </c>
      <c r="E90" s="25" t="str">
        <f>VLOOKUP(D90,'Form Responses 1'!B:J,2,FALSE)</f>
        <v>Jl. Yos Sudarso No.510 RT08, RW.03, Klapasawit, Wero, Kec. Gombong, Kabupaten Kebumen, Jawa Tengah 54416</v>
      </c>
      <c r="F90" s="26" t="str">
        <f>VLOOKUP(D90,'Form Responses 1'!B:J,5,FALSE)</f>
        <v>Neraca Obat</v>
      </c>
      <c r="G90" s="26" t="str">
        <f>VLOOKUP(D90,'Form Responses 1'!B:J,6,FALSE)</f>
        <v>Mercurry</v>
      </c>
      <c r="H90" s="26">
        <f>VLOOKUP(D90,'Form Responses 1'!B:J,7,FALSE)</f>
        <v>0</v>
      </c>
      <c r="I90" s="26">
        <f>VLOOKUP(D90,'Form Responses 1'!B:J,8,FALSE)</f>
        <v>22812</v>
      </c>
      <c r="J90" s="26" t="str">
        <f>VLOOKUP(D90,'Form Responses 1'!B:J,9,FALSE)</f>
        <v>500 g / 250 mg</v>
      </c>
      <c r="K90" s="23">
        <v>46042</v>
      </c>
      <c r="L90" s="30" t="s">
        <v>1326</v>
      </c>
      <c r="M90" s="28" t="b">
        <v>1</v>
      </c>
    </row>
    <row r="91" spans="1:13" ht="38.25">
      <c r="A91" s="21">
        <v>40</v>
      </c>
      <c r="B91" s="29" t="s">
        <v>1366</v>
      </c>
      <c r="C91" s="23">
        <v>46042</v>
      </c>
      <c r="D91" s="31" t="s">
        <v>370</v>
      </c>
      <c r="E91" s="25" t="str">
        <f>VLOOKUP(D91,'Form Responses 1'!B:J,2,FALSE)</f>
        <v>Dukuh Jerotengah RT 02 RW 03, Desa Banyumudal, Kecamatan Buayan, Kabupaten Kebumen</v>
      </c>
      <c r="F91" s="26" t="str">
        <f>VLOOKUP(D91,'Form Responses 1'!B:J,5,FALSE)</f>
        <v>Timbangan Elektronik</v>
      </c>
      <c r="G91" s="26" t="str">
        <f>VLOOKUP(D91,'Form Responses 1'!B:J,6,FALSE)</f>
        <v>Acis</v>
      </c>
      <c r="H91" s="26" t="str">
        <f>VLOOKUP(D91,'Form Responses 1'!B:J,7,FALSE)</f>
        <v>Bc 500</v>
      </c>
      <c r="I91" s="26" t="str">
        <f>VLOOKUP(D91,'Form Responses 1'!B:J,8,FALSE)</f>
        <v>E241203203</v>
      </c>
      <c r="J91" s="26" t="str">
        <f>VLOOKUP(D91,'Form Responses 1'!B:J,9,FALSE)</f>
        <v>500 g / 0,1 g</v>
      </c>
      <c r="K91" s="23">
        <v>46042</v>
      </c>
      <c r="L91" s="30" t="s">
        <v>1322</v>
      </c>
      <c r="M91" s="28" t="b">
        <v>1</v>
      </c>
    </row>
    <row r="92" spans="1:13" ht="38.25">
      <c r="A92" s="21">
        <v>41</v>
      </c>
      <c r="B92" s="29" t="s">
        <v>1367</v>
      </c>
      <c r="C92" s="23">
        <v>46042</v>
      </c>
      <c r="D92" s="32" t="s">
        <v>358</v>
      </c>
      <c r="E92" s="25" t="str">
        <f>VLOOKUP(D92,'Form Responses 1'!B:J,2,FALSE)</f>
        <v>Jl. Jalur Pantai Selatan, Desa Tegalretno, Kecamatan Petanahan, Kabupaten Kebumen</v>
      </c>
      <c r="F92" s="26" t="str">
        <f>VLOOKUP(D92,'Form Responses 1'!B:J,5,FALSE)</f>
        <v>PU BBM</v>
      </c>
      <c r="G92" s="26" t="str">
        <f>VLOOKUP(D92,'Form Responses 1'!B:J,6,FALSE)</f>
        <v>TATSUNO</v>
      </c>
      <c r="H92" s="26" t="str">
        <f>VLOOKUP(D92,'Form Responses 1'!B:J,7,FALSE)</f>
        <v>SSA 2442</v>
      </c>
      <c r="I92" s="26" t="str">
        <f>VLOOKUP(D92,'Form Responses 1'!B:J,8,FALSE)</f>
        <v>AA308024 2021-4</v>
      </c>
      <c r="J92" s="26" t="str">
        <f>VLOOKUP(D92,'Form Responses 1'!B:J,9,FALSE)</f>
        <v>65L/min</v>
      </c>
      <c r="K92" s="23">
        <v>46042</v>
      </c>
      <c r="L92" s="30" t="s">
        <v>1340</v>
      </c>
      <c r="M92" s="28" t="b">
        <v>1</v>
      </c>
    </row>
    <row r="93" spans="1:13" ht="38.25">
      <c r="A93" s="21"/>
      <c r="D93" s="31" t="s">
        <v>364</v>
      </c>
      <c r="E93" s="25" t="str">
        <f>VLOOKUP(D93,'Form Responses 1'!B:J,2,FALSE)</f>
        <v>Jl. Jalur Pantai Selatan, Desa Tegalretno, Kecamatan Petanahan, Kabupaten Kebumen</v>
      </c>
      <c r="F93" s="26" t="str">
        <f>VLOOKUP(D93,'Form Responses 1'!B:J,5,FALSE)</f>
        <v>PU BBM</v>
      </c>
      <c r="G93" s="26" t="str">
        <f>VLOOKUP(D93,'Form Responses 1'!B:J,6,FALSE)</f>
        <v>TATSUNO</v>
      </c>
      <c r="H93" s="26" t="str">
        <f>VLOOKUP(D93,'Form Responses 1'!B:J,7,FALSE)</f>
        <v>SSA 2442</v>
      </c>
      <c r="I93" s="26" t="str">
        <f>VLOOKUP(D93,'Form Responses 1'!B:J,8,FALSE)</f>
        <v>AA309662 2021-6</v>
      </c>
      <c r="J93" s="26" t="str">
        <f>VLOOKUP(D93,'Form Responses 1'!B:J,9,FALSE)</f>
        <v>65 L/min</v>
      </c>
      <c r="L93" s="26"/>
      <c r="M93" s="28" t="b">
        <v>1</v>
      </c>
    </row>
    <row r="94" spans="1:13" ht="38.25">
      <c r="A94" s="21"/>
      <c r="D94" s="32" t="s">
        <v>366</v>
      </c>
      <c r="E94" s="25" t="str">
        <f>VLOOKUP(D94,'Form Responses 1'!B:J,2,FALSE)</f>
        <v>Jl. Jalur Pantai Selatan, Desa Tegalretno, Kecamatan Petanahan, Kabupaten Kebumen</v>
      </c>
      <c r="F94" s="26" t="str">
        <f>VLOOKUP(D94,'Form Responses 1'!B:J,5,FALSE)</f>
        <v>PU BBM</v>
      </c>
      <c r="G94" s="26" t="str">
        <f>VLOOKUP(D94,'Form Responses 1'!B:J,6,FALSE)</f>
        <v>TATSUNO</v>
      </c>
      <c r="H94" s="26" t="str">
        <f>VLOOKUP(D94,'Form Responses 1'!B:J,7,FALSE)</f>
        <v>SSA 2442</v>
      </c>
      <c r="I94" s="26" t="str">
        <f>VLOOKUP(D94,'Form Responses 1'!B:J,8,FALSE)</f>
        <v>AA309669 2021-6</v>
      </c>
      <c r="J94" s="26" t="str">
        <f>VLOOKUP(D94,'Form Responses 1'!B:J,9,FALSE)</f>
        <v>65 L/min</v>
      </c>
      <c r="L94" s="26"/>
      <c r="M94" s="28" t="b">
        <v>1</v>
      </c>
    </row>
    <row r="95" spans="1:13" ht="38.25">
      <c r="A95" s="21"/>
      <c r="D95" s="31" t="s">
        <v>368</v>
      </c>
      <c r="E95" s="25" t="str">
        <f>VLOOKUP(D95,'Form Responses 1'!B:J,2,FALSE)</f>
        <v>Jl. Jalur Pantai Selatan, Desa Tegalretno, Kecamatan Petanahan, Kabupaten Kebumen</v>
      </c>
      <c r="F95" s="26" t="str">
        <f>VLOOKUP(D95,'Form Responses 1'!B:J,5,FALSE)</f>
        <v>PU BBM</v>
      </c>
      <c r="G95" s="26" t="str">
        <f>VLOOKUP(D95,'Form Responses 1'!B:J,6,FALSE)</f>
        <v>TATSUNO</v>
      </c>
      <c r="H95" s="26" t="str">
        <f>VLOOKUP(D95,'Form Responses 1'!B:J,7,FALSE)</f>
        <v>SSA 2442</v>
      </c>
      <c r="I95" s="26" t="str">
        <f>VLOOKUP(D95,'Form Responses 1'!B:J,8,FALSE)</f>
        <v>AA309657 2021-6</v>
      </c>
      <c r="J95" s="26" t="str">
        <f>VLOOKUP(D95,'Form Responses 1'!B:J,9,FALSE)</f>
        <v>65 L/min</v>
      </c>
      <c r="L95" s="26"/>
      <c r="M95" s="28" t="b">
        <v>1</v>
      </c>
    </row>
    <row r="96" spans="1:13" ht="38.25">
      <c r="A96" s="21">
        <v>42</v>
      </c>
      <c r="B96" s="29" t="s">
        <v>1368</v>
      </c>
      <c r="C96" s="23">
        <v>46044</v>
      </c>
      <c r="D96" s="33" t="s">
        <v>376</v>
      </c>
      <c r="E96" s="25" t="str">
        <f>VLOOKUP(D96,'Form Responses 1'!B:J,2,FALSE)</f>
        <v>Jl. Raya Mirit, Desa Tlogopragoto, Kecamatan Mirit, Kabupaten Kebumen</v>
      </c>
      <c r="F96" s="26" t="str">
        <f>VLOOKUP(D96,'Form Responses 1'!B:J,5,FALSE)</f>
        <v>PU BBM</v>
      </c>
      <c r="G96" s="26" t="str">
        <f>VLOOKUP(D96,'Form Responses 1'!B:J,6,FALSE)</f>
        <v>TATSUNO</v>
      </c>
      <c r="H96" s="26" t="str">
        <f>VLOOKUP(D96,'Form Responses 1'!B:J,7,FALSE)</f>
        <v>SSA 2442</v>
      </c>
      <c r="I96" s="26" t="str">
        <f>VLOOKUP(D96,'Form Responses 1'!B:J,8,FALSE)</f>
        <v>AA 304943 2020-12</v>
      </c>
      <c r="J96" s="26" t="str">
        <f>VLOOKUP(D96,'Form Responses 1'!B:J,9,FALSE)</f>
        <v>65 L/min</v>
      </c>
      <c r="K96" s="34">
        <v>46043</v>
      </c>
      <c r="L96" s="30" t="s">
        <v>1340</v>
      </c>
      <c r="M96" s="28" t="b">
        <v>1</v>
      </c>
    </row>
    <row r="97" spans="1:13" ht="38.25">
      <c r="A97" s="21"/>
      <c r="D97" s="31" t="s">
        <v>380</v>
      </c>
      <c r="E97" s="25" t="str">
        <f>VLOOKUP(D97,'Form Responses 1'!B:J,2,FALSE)</f>
        <v>Jl. Raya Mirit, Desa Tlogopragoto, Kecamatan Mirit, Kabupaten Kebumen</v>
      </c>
      <c r="F97" s="26" t="str">
        <f>VLOOKUP(D97,'Form Responses 1'!B:J,5,FALSE)</f>
        <v>PU BBM</v>
      </c>
      <c r="G97" s="26" t="str">
        <f>VLOOKUP(D97,'Form Responses 1'!B:J,6,FALSE)</f>
        <v>TATSUNO</v>
      </c>
      <c r="H97" s="26" t="str">
        <f>VLOOKUP(D97,'Form Responses 1'!B:J,7,FALSE)</f>
        <v>SSA 2442</v>
      </c>
      <c r="I97" s="26" t="str">
        <f>VLOOKUP(D97,'Form Responses 1'!B:J,8,FALSE)</f>
        <v>AA 304946 2020-12</v>
      </c>
      <c r="J97" s="26" t="str">
        <f>VLOOKUP(D97,'Form Responses 1'!B:J,9,FALSE)</f>
        <v>65 L/min</v>
      </c>
      <c r="L97" s="26"/>
      <c r="M97" s="28" t="b">
        <v>1</v>
      </c>
    </row>
    <row r="98" spans="1:13" ht="38.25">
      <c r="A98" s="21"/>
      <c r="D98" s="32" t="s">
        <v>383</v>
      </c>
      <c r="E98" s="25" t="str">
        <f>VLOOKUP(D98,'Form Responses 1'!B:J,2,FALSE)</f>
        <v>Jl. Raya Mirit, Desa Tlogopragoto, Kecamatan Mirit, Kabupaten Kebumen</v>
      </c>
      <c r="F98" s="26" t="str">
        <f>VLOOKUP(D98,'Form Responses 1'!B:J,5,FALSE)</f>
        <v>PU BBM</v>
      </c>
      <c r="G98" s="26" t="str">
        <f>VLOOKUP(D98,'Form Responses 1'!B:J,6,FALSE)</f>
        <v>TATSUNO</v>
      </c>
      <c r="H98" s="26" t="str">
        <f>VLOOKUP(D98,'Form Responses 1'!B:J,7,FALSE)</f>
        <v>SSA 2442</v>
      </c>
      <c r="I98" s="26" t="str">
        <f>VLOOKUP(D98,'Form Responses 1'!B:J,8,FALSE)</f>
        <v>AA 304965 2020-12</v>
      </c>
      <c r="J98" s="26" t="str">
        <f>VLOOKUP(D98,'Form Responses 1'!B:J,9,FALSE)</f>
        <v>65 L/min</v>
      </c>
      <c r="L98" s="26"/>
      <c r="M98" s="28" t="b">
        <v>1</v>
      </c>
    </row>
    <row r="99" spans="1:13" ht="38.25">
      <c r="A99" s="21"/>
      <c r="D99" s="31" t="s">
        <v>386</v>
      </c>
      <c r="E99" s="25" t="str">
        <f>VLOOKUP(D99,'Form Responses 1'!B:J,2,FALSE)</f>
        <v>Jl. Raya Mirit, Desa Tlogopragoto, Kecamatan Mirit, Kabupaten Kebumen</v>
      </c>
      <c r="F99" s="26" t="str">
        <f>VLOOKUP(D99,'Form Responses 1'!B:J,5,FALSE)</f>
        <v>PU BBM</v>
      </c>
      <c r="G99" s="26" t="str">
        <f>VLOOKUP(D99,'Form Responses 1'!B:J,6,FALSE)</f>
        <v>TATSUNO</v>
      </c>
      <c r="H99" s="26" t="str">
        <f>VLOOKUP(D99,'Form Responses 1'!B:J,7,FALSE)</f>
        <v>SSA 2442</v>
      </c>
      <c r="I99" s="26" t="str">
        <f>VLOOKUP(D99,'Form Responses 1'!B:J,8,FALSE)</f>
        <v>AA 304957 2020-12</v>
      </c>
      <c r="J99" s="26" t="str">
        <f>VLOOKUP(D99,'Form Responses 1'!B:J,9,FALSE)</f>
        <v>65 L/min</v>
      </c>
      <c r="L99" s="26"/>
      <c r="M99" s="28" t="b">
        <v>1</v>
      </c>
    </row>
    <row r="100" spans="1:13" ht="25.5">
      <c r="A100" s="21">
        <v>43</v>
      </c>
      <c r="B100" s="29" t="s">
        <v>1369</v>
      </c>
      <c r="C100" s="23">
        <v>46044</v>
      </c>
      <c r="D100" s="32" t="s">
        <v>389</v>
      </c>
      <c r="E100" s="25" t="str">
        <f>VLOOKUP(D100,'Form Responses 1'!B:J,2,FALSE)</f>
        <v xml:space="preserve">Jl. Daendels KM 1, Petanahan, Kebumen, Jawa Tengah </v>
      </c>
      <c r="F100" s="26" t="str">
        <f>VLOOKUP(D100,'Form Responses 1'!B:J,5,FALSE)</f>
        <v>Neraca Obat</v>
      </c>
      <c r="G100" s="26" t="str">
        <f>VLOOKUP(D100,'Form Responses 1'!B:J,6,FALSE)</f>
        <v>SNS</v>
      </c>
      <c r="H100" s="26" t="str">
        <f>VLOOKUP(D100,'Form Responses 1'!B:J,7,FALSE)</f>
        <v>-</v>
      </c>
      <c r="I100" s="26">
        <f>VLOOKUP(D100,'Form Responses 1'!B:J,8,FALSE)</f>
        <v>22256</v>
      </c>
      <c r="J100" s="26" t="str">
        <f>VLOOKUP(D100,'Form Responses 1'!B:J,9,FALSE)</f>
        <v>50 g/25 mg</v>
      </c>
      <c r="K100" s="23">
        <v>46044</v>
      </c>
      <c r="L100" s="30" t="s">
        <v>1326</v>
      </c>
      <c r="M100" s="28" t="b">
        <v>1</v>
      </c>
    </row>
    <row r="101" spans="1:13" ht="38.25">
      <c r="A101" s="21">
        <v>44</v>
      </c>
      <c r="B101" s="29" t="s">
        <v>1370</v>
      </c>
      <c r="C101" s="23">
        <v>46045</v>
      </c>
      <c r="D101" s="31" t="s">
        <v>394</v>
      </c>
      <c r="E101" s="25" t="str">
        <f>VLOOKUP(D101,'Form Responses 1'!B:J,2,FALSE)</f>
        <v>Jl. Raya Prembun Timur km 3, Desa Tunggal Roso, Kecamatan Prembun, Kabupaten Kebumen</v>
      </c>
      <c r="F101" s="26" t="str">
        <f>VLOOKUP(D101,'Form Responses 1'!B:J,5,FALSE)</f>
        <v>PU BBM</v>
      </c>
      <c r="G101" s="26" t="str">
        <f>VLOOKUP(D101,'Form Responses 1'!B:J,6,FALSE)</f>
        <v>TOMINAGA</v>
      </c>
      <c r="H101" s="26" t="str">
        <f>VLOOKUP(D101,'Form Responses 1'!B:J,7,FALSE)</f>
        <v>HAXC 4442</v>
      </c>
      <c r="I101" s="26" t="str">
        <f>VLOOKUP(D101,'Form Responses 1'!B:J,8,FALSE)</f>
        <v>5496-99</v>
      </c>
      <c r="J101" s="26" t="str">
        <f>VLOOKUP(D101,'Form Responses 1'!B:J,9,FALSE)</f>
        <v>40 L/min</v>
      </c>
      <c r="K101" s="23">
        <v>46044</v>
      </c>
      <c r="L101" s="30" t="s">
        <v>1340</v>
      </c>
      <c r="M101" s="28" t="b">
        <v>1</v>
      </c>
    </row>
    <row r="102" spans="1:13" ht="38.25">
      <c r="A102" s="21"/>
      <c r="D102" s="32" t="s">
        <v>400</v>
      </c>
      <c r="E102" s="25" t="str">
        <f>VLOOKUP(D102,'Form Responses 1'!B:J,2,FALSE)</f>
        <v>Jl. Raya Prembun Timur km 3, Desa Tunggal Roso, Kecamatan Prembun, Kabupaten Kebumen</v>
      </c>
      <c r="F102" s="26" t="str">
        <f>VLOOKUP(D102,'Form Responses 1'!B:J,5,FALSE)</f>
        <v>PU BBM</v>
      </c>
      <c r="G102" s="26" t="str">
        <f>VLOOKUP(D102,'Form Responses 1'!B:J,6,FALSE)</f>
        <v>TOMINAGA</v>
      </c>
      <c r="H102" s="26" t="str">
        <f>VLOOKUP(D102,'Form Responses 1'!B:J,7,FALSE)</f>
        <v>HIXC 4242</v>
      </c>
      <c r="I102" s="26" t="str">
        <f>VLOOKUP(D102,'Form Responses 1'!B:J,8,FALSE)</f>
        <v>5508-11</v>
      </c>
      <c r="J102" s="26" t="str">
        <f>VLOOKUP(D102,'Form Responses 1'!B:J,9,FALSE)</f>
        <v>40 L/min</v>
      </c>
      <c r="L102" s="26"/>
      <c r="M102" s="28" t="b">
        <v>1</v>
      </c>
    </row>
    <row r="103" spans="1:13" ht="38.25">
      <c r="A103" s="21"/>
      <c r="D103" s="31" t="s">
        <v>403</v>
      </c>
      <c r="E103" s="25" t="str">
        <f>VLOOKUP(D103,'Form Responses 1'!B:J,2,FALSE)</f>
        <v>Jl. Raya Prembun Timur km 3, Desa Tunggal Roso, Kecamatan Prembun, Kabupaten Kebumen</v>
      </c>
      <c r="F103" s="26" t="str">
        <f>VLOOKUP(D103,'Form Responses 1'!B:J,5,FALSE)</f>
        <v>PU BBM</v>
      </c>
      <c r="G103" s="26" t="str">
        <f>VLOOKUP(D103,'Form Responses 1'!B:J,6,FALSE)</f>
        <v>TOMINAGA</v>
      </c>
      <c r="H103" s="26" t="str">
        <f>VLOOKUP(D103,'Form Responses 1'!B:J,7,FALSE)</f>
        <v>HIXC 4242</v>
      </c>
      <c r="I103" s="26" t="str">
        <f>VLOOKUP(D103,'Form Responses 1'!B:J,8,FALSE)</f>
        <v>6217-20</v>
      </c>
      <c r="J103" s="26" t="str">
        <f>VLOOKUP(D103,'Form Responses 1'!B:J,9,FALSE)</f>
        <v>40 L/min</v>
      </c>
      <c r="L103" s="26"/>
      <c r="M103" s="28" t="b">
        <v>1</v>
      </c>
    </row>
    <row r="104" spans="1:13" ht="38.25">
      <c r="A104" s="21">
        <v>45</v>
      </c>
      <c r="B104" s="29" t="s">
        <v>1371</v>
      </c>
      <c r="C104" s="23">
        <v>46045</v>
      </c>
      <c r="D104" s="32" t="s">
        <v>405</v>
      </c>
      <c r="E104" s="25" t="str">
        <f>VLOOKUP(D104,'Form Responses 1'!B:J,2,FALSE)</f>
        <v>Jl. Raya Guyangan, RT. 04/RW. 01, Kecamatan Petanahan, Kabupaten Kebumen</v>
      </c>
      <c r="F104" s="26" t="str">
        <f>VLOOKUP(D104,'Form Responses 1'!B:J,5,FALSE)</f>
        <v>Timbangan Elektronik</v>
      </c>
      <c r="G104" s="26" t="str">
        <f>VLOOKUP(D104,'Form Responses 1'!B:J,6,FALSE)</f>
        <v>ACIS</v>
      </c>
      <c r="H104" s="26" t="str">
        <f>VLOOKUP(D104,'Form Responses 1'!B:J,7,FALSE)</f>
        <v>BC 5000</v>
      </c>
      <c r="I104" s="26" t="str">
        <f>VLOOKUP(D104,'Form Responses 1'!B:J,8,FALSE)</f>
        <v>E2504030699</v>
      </c>
      <c r="J104" s="26" t="str">
        <f>VLOOKUP(D104,'Form Responses 1'!B:J,9,FALSE)</f>
        <v>5000 g / 1 g</v>
      </c>
      <c r="K104" s="23">
        <v>46044</v>
      </c>
      <c r="L104" s="30" t="s">
        <v>1322</v>
      </c>
      <c r="M104" s="28" t="b">
        <v>1</v>
      </c>
    </row>
    <row r="105" spans="1:13" ht="51">
      <c r="A105" s="21">
        <v>46</v>
      </c>
      <c r="B105" s="29" t="s">
        <v>1372</v>
      </c>
      <c r="C105" s="23">
        <v>46049</v>
      </c>
      <c r="D105" s="31" t="s">
        <v>410</v>
      </c>
      <c r="E105" s="25" t="str">
        <f>VLOOKUP(D105,'Form Responses 1'!B:J,2,FALSE)</f>
        <v>Jl. Dr. Wahidin No. 94 Kutowinangun, Kecamatan Kutowinangun, Kabupaten Kebumen</v>
      </c>
      <c r="F105" s="26" t="str">
        <f>VLOOKUP(D105,'Form Responses 1'!B:J,5,FALSE)</f>
        <v>Timbangan Elektronik</v>
      </c>
      <c r="G105" s="26" t="str">
        <f>VLOOKUP(D105,'Form Responses 1'!B:J,6,FALSE)</f>
        <v>AND</v>
      </c>
      <c r="H105" s="26" t="str">
        <f>VLOOKUP(D105,'Form Responses 1'!B:J,7,FALSE)</f>
        <v>GF-3000</v>
      </c>
      <c r="I105" s="26" t="str">
        <f>VLOOKUP(D105,'Form Responses 1'!B:J,8,FALSE)</f>
        <v>T0364188</v>
      </c>
      <c r="J105" s="26" t="str">
        <f>VLOOKUP(D105,'Form Responses 1'!B:J,9,FALSE)</f>
        <v>3100 g / 0,1 g</v>
      </c>
      <c r="K105" s="23">
        <v>46048</v>
      </c>
      <c r="L105" s="30" t="s">
        <v>1322</v>
      </c>
      <c r="M105" s="28" t="b">
        <v>1</v>
      </c>
    </row>
    <row r="106" spans="1:13" ht="51">
      <c r="A106" s="21">
        <v>47</v>
      </c>
      <c r="B106" s="29" t="s">
        <v>1373</v>
      </c>
      <c r="C106" s="23">
        <v>46049</v>
      </c>
      <c r="D106" s="32" t="s">
        <v>416</v>
      </c>
      <c r="E106" s="25" t="str">
        <f>VLOOKUP(D106,'Form Responses 1'!B:J,2,FALSE)</f>
        <v>Jl. Dr. Wahidin No. 94 Kutowinangun, Kecamatan Kutowinangun, Kabupaten Kebumen</v>
      </c>
      <c r="F106" s="26" t="str">
        <f>VLOOKUP(D106,'Form Responses 1'!B:J,5,FALSE)</f>
        <v>Timbangan Elektronik</v>
      </c>
      <c r="G106" s="26" t="str">
        <f>VLOOKUP(D106,'Form Responses 1'!B:J,6,FALSE)</f>
        <v>AND</v>
      </c>
      <c r="H106" s="26" t="str">
        <f>VLOOKUP(D106,'Form Responses 1'!B:J,7,FALSE)</f>
        <v>GF-3000</v>
      </c>
      <c r="I106" s="26">
        <f>VLOOKUP(D106,'Form Responses 1'!B:J,8,FALSE)</f>
        <v>14656097</v>
      </c>
      <c r="J106" s="26" t="str">
        <f>VLOOKUP(D106,'Form Responses 1'!B:J,9,FALSE)</f>
        <v>3100 g / 0,1 g</v>
      </c>
      <c r="K106" s="23">
        <v>46048</v>
      </c>
      <c r="L106" s="30" t="s">
        <v>1322</v>
      </c>
      <c r="M106" s="28" t="b">
        <v>1</v>
      </c>
    </row>
    <row r="107" spans="1:13" ht="38.25">
      <c r="A107" s="21">
        <v>48</v>
      </c>
      <c r="B107" s="29" t="s">
        <v>1374</v>
      </c>
      <c r="C107" s="23">
        <v>46049</v>
      </c>
      <c r="D107" s="31" t="s">
        <v>417</v>
      </c>
      <c r="E107" s="25" t="str">
        <f>VLOOKUP(D107,'Form Responses 1'!B:J,2,FALSE)</f>
        <v>Jl. Guyangan Km. 01, Desa Petanahan, Kecamatan Petanahan, Kabupaten Kebumen</v>
      </c>
      <c r="F107" s="26" t="str">
        <f>VLOOKUP(D107,'Form Responses 1'!B:J,5,FALSE)</f>
        <v>PU BBM</v>
      </c>
      <c r="G107" s="26" t="str">
        <f>VLOOKUP(D107,'Form Responses 1'!B:J,6,FALSE)</f>
        <v>Gilbarco</v>
      </c>
      <c r="H107" s="26" t="str">
        <f>VLOOKUP(D107,'Form Responses 1'!B:J,7,FALSE)</f>
        <v>NA 2</v>
      </c>
      <c r="I107" s="26" t="str">
        <f>VLOOKUP(D107,'Form Responses 1'!B:J,8,FALSE)</f>
        <v>MDEN 365870</v>
      </c>
      <c r="J107" s="26" t="str">
        <f>VLOOKUP(D107,'Form Responses 1'!B:J,9,FALSE)</f>
        <v>60 L/m</v>
      </c>
      <c r="K107" s="23">
        <v>46045</v>
      </c>
      <c r="L107" s="30" t="s">
        <v>1340</v>
      </c>
      <c r="M107" s="28" t="b">
        <v>1</v>
      </c>
    </row>
    <row r="108" spans="1:13" ht="38.25">
      <c r="A108" s="21"/>
      <c r="D108" s="32" t="s">
        <v>421</v>
      </c>
      <c r="E108" s="25" t="str">
        <f>VLOOKUP(D108,'Form Responses 1'!B:J,2,FALSE)</f>
        <v>Jl. Guyangan Km. 01, Desa Petanahan, Kecamatan Petanahan, Kabupaten Kebumen</v>
      </c>
      <c r="F108" s="26" t="str">
        <f>VLOOKUP(D108,'Form Responses 1'!B:J,5,FALSE)</f>
        <v>PU BBM</v>
      </c>
      <c r="G108" s="26" t="str">
        <f>VLOOKUP(D108,'Form Responses 1'!B:J,6,FALSE)</f>
        <v>Gilbarco</v>
      </c>
      <c r="H108" s="26" t="str">
        <f>VLOOKUP(D108,'Form Responses 1'!B:J,7,FALSE)</f>
        <v>NA2</v>
      </c>
      <c r="I108" s="26" t="str">
        <f>VLOOKUP(D108,'Form Responses 1'!B:J,8,FALSE)</f>
        <v>MDEN 365865</v>
      </c>
      <c r="J108" s="26" t="str">
        <f>VLOOKUP(D108,'Form Responses 1'!B:J,9,FALSE)</f>
        <v>60 L/m</v>
      </c>
      <c r="L108" s="26"/>
      <c r="M108" s="28" t="b">
        <v>1</v>
      </c>
    </row>
    <row r="109" spans="1:13" ht="38.25">
      <c r="D109" s="31" t="s">
        <v>423</v>
      </c>
      <c r="E109" s="25" t="str">
        <f>VLOOKUP(D109,'Form Responses 1'!B:J,2,FALSE)</f>
        <v>Jl. Guyangan Km. 01, Desa Petanahan, Kecamatan Petanahan, Kabupaten Kebumen</v>
      </c>
      <c r="F109" s="26" t="str">
        <f>VLOOKUP(D109,'Form Responses 1'!B:J,5,FALSE)</f>
        <v>PU BBM</v>
      </c>
      <c r="G109" s="26" t="str">
        <f>VLOOKUP(D109,'Form Responses 1'!B:J,6,FALSE)</f>
        <v>Gilbarco</v>
      </c>
      <c r="H109" s="26" t="str">
        <f>VLOOKUP(D109,'Form Responses 1'!B:J,7,FALSE)</f>
        <v>NA1</v>
      </c>
      <c r="I109" s="26" t="str">
        <f>VLOOKUP(D109,'Form Responses 1'!B:J,8,FALSE)</f>
        <v>MDEN 338132</v>
      </c>
      <c r="J109" s="26" t="str">
        <f>VLOOKUP(D109,'Form Responses 1'!B:J,9,FALSE)</f>
        <v>60 L/m</v>
      </c>
      <c r="L109" s="26"/>
      <c r="M109" s="28" t="b">
        <v>1</v>
      </c>
    </row>
    <row r="110" spans="1:13" ht="38.25">
      <c r="A110" s="29">
        <v>49</v>
      </c>
      <c r="B110" s="29" t="s">
        <v>1375</v>
      </c>
      <c r="C110" s="23">
        <v>46049</v>
      </c>
      <c r="D110" s="32" t="s">
        <v>425</v>
      </c>
      <c r="E110" s="25" t="str">
        <f>VLOOKUP(D110,'Form Responses 1'!B:J,2,FALSE)</f>
        <v>Jl. Raya Prembun, Desa Tersobo, Kecamatan Prembun, Kabupaten Kebumen</v>
      </c>
      <c r="F110" s="26" t="str">
        <f>VLOOKUP(D110,'Form Responses 1'!B:J,5,FALSE)</f>
        <v>PU BBM</v>
      </c>
      <c r="G110" s="26" t="str">
        <f>VLOOKUP(D110,'Form Responses 1'!B:J,6,FALSE)</f>
        <v>TATSUNO</v>
      </c>
      <c r="H110" s="26" t="str">
        <f>VLOOKUP(D110,'Form Responses 1'!B:J,7,FALSE)</f>
        <v>EDAT 2222 AJ-N</v>
      </c>
      <c r="I110" s="26" t="str">
        <f>VLOOKUP(D110,'Form Responses 1'!B:J,8,FALSE)</f>
        <v>AA 092823 2000-8</v>
      </c>
      <c r="J110" s="26" t="str">
        <f>VLOOKUP(D110,'Form Responses 1'!B:J,9,FALSE)</f>
        <v>60 L/m</v>
      </c>
      <c r="K110" s="23">
        <v>46048</v>
      </c>
      <c r="L110" s="30" t="s">
        <v>1340</v>
      </c>
      <c r="M110" s="28" t="b">
        <v>1</v>
      </c>
    </row>
    <row r="111" spans="1:13" ht="38.25">
      <c r="D111" s="31" t="s">
        <v>430</v>
      </c>
      <c r="E111" s="25" t="str">
        <f>VLOOKUP(D111,'Form Responses 1'!B:J,2,FALSE)</f>
        <v>Jl. Raya Prembun, Desa Tersobo, Kecamatan Prembun, Kabupaten Kebumen</v>
      </c>
      <c r="F111" s="26" t="str">
        <f>VLOOKUP(D111,'Form Responses 1'!B:J,5,FALSE)</f>
        <v>PU BBM</v>
      </c>
      <c r="G111" s="26" t="str">
        <f>VLOOKUP(D111,'Form Responses 1'!B:J,6,FALSE)</f>
        <v>TATSUNO</v>
      </c>
      <c r="H111" s="26" t="str">
        <f>VLOOKUP(D111,'Form Responses 1'!B:J,7,FALSE)</f>
        <v>GSB 3621</v>
      </c>
      <c r="I111" s="26" t="str">
        <f>VLOOKUP(D111,'Form Responses 1'!B:J,8,FALSE)</f>
        <v>AA 163921</v>
      </c>
      <c r="J111" s="26" t="str">
        <f>VLOOKUP(D111,'Form Responses 1'!B:J,9,FALSE)</f>
        <v>60 L/m</v>
      </c>
      <c r="L111" s="26"/>
      <c r="M111" s="28" t="b">
        <v>1</v>
      </c>
    </row>
    <row r="112" spans="1:13" ht="38.25">
      <c r="D112" s="32" t="s">
        <v>434</v>
      </c>
      <c r="E112" s="25" t="str">
        <f>VLOOKUP(D112,'Form Responses 1'!B:J,2,FALSE)</f>
        <v>Jl. Raya Prembun, Desa Tersobo, Kecamatan Prembun, Kabupaten Kebumen</v>
      </c>
      <c r="F112" s="26" t="str">
        <f>VLOOKUP(D112,'Form Responses 1'!B:J,5,FALSE)</f>
        <v>PU BBM</v>
      </c>
      <c r="G112" s="26" t="str">
        <f>VLOOKUP(D112,'Form Responses 1'!B:J,6,FALSE)</f>
        <v>GILBARCO</v>
      </c>
      <c r="H112" s="26" t="str">
        <f>VLOOKUP(D112,'Form Responses 1'!B:J,7,FALSE)</f>
        <v xml:space="preserve">B31 </v>
      </c>
      <c r="I112" s="26" t="str">
        <f>VLOOKUP(D112,'Form Responses 1'!B:J,8,FALSE)</f>
        <v>KEPA 100903</v>
      </c>
      <c r="J112" s="26" t="str">
        <f>VLOOKUP(D112,'Form Responses 1'!B:J,9,FALSE)</f>
        <v>50 L/m</v>
      </c>
      <c r="L112" s="26"/>
      <c r="M112" s="28" t="b">
        <v>1</v>
      </c>
    </row>
    <row r="113" spans="1:13" ht="25.5">
      <c r="A113" s="29">
        <v>50</v>
      </c>
      <c r="B113" s="29" t="s">
        <v>1376</v>
      </c>
      <c r="C113" s="23">
        <v>46050</v>
      </c>
      <c r="D113" s="31" t="s">
        <v>438</v>
      </c>
      <c r="E113" s="25" t="str">
        <f>VLOOKUP(D113,'Form Responses 1'!B:J,2,FALSE)</f>
        <v>Desa Sadang Kulon, Kecamatan Sadang, Kabupaten Kebumen</v>
      </c>
      <c r="F113" s="26" t="str">
        <f>VLOOKUP(D113,'Form Responses 1'!B:J,5,FALSE)</f>
        <v>PU BBM</v>
      </c>
      <c r="G113" s="26" t="str">
        <f>VLOOKUP(D113,'Form Responses 1'!B:J,6,FALSE)</f>
        <v>SANKI</v>
      </c>
      <c r="H113" s="26" t="str">
        <f>VLOOKUP(D113,'Form Responses 1'!B:J,7,FALSE)</f>
        <v>10ZF111A</v>
      </c>
      <c r="I113" s="26" t="str">
        <f>VLOOKUP(D113,'Form Responses 1'!B:J,8,FALSE)</f>
        <v>1110AW214120</v>
      </c>
      <c r="J113" s="26" t="str">
        <f>VLOOKUP(D113,'Form Responses 1'!B:J,9,FALSE)</f>
        <v>50 L/min</v>
      </c>
      <c r="K113" s="23">
        <v>46049</v>
      </c>
      <c r="L113" s="30" t="s">
        <v>1340</v>
      </c>
      <c r="M113" s="28" t="b">
        <v>1</v>
      </c>
    </row>
    <row r="114" spans="1:13" ht="38.25">
      <c r="A114" s="29">
        <v>51</v>
      </c>
      <c r="B114" s="29" t="s">
        <v>1377</v>
      </c>
      <c r="C114" s="23">
        <v>46050</v>
      </c>
      <c r="D114" s="32" t="s">
        <v>444</v>
      </c>
      <c r="E114" s="25" t="str">
        <f>VLOOKUP(D114,'Form Responses 1'!B:J,2,FALSE)</f>
        <v>Jl. Ronggowarsito No. 3 Legok Lor, Desa Pejagoan, Kecamatan Pejagoan, Kabupaten Kebumen</v>
      </c>
      <c r="F114" s="26" t="str">
        <f>VLOOKUP(D114,'Form Responses 1'!B:J,5,FALSE)</f>
        <v>PU BBM</v>
      </c>
      <c r="G114" s="26" t="str">
        <f>VLOOKUP(D114,'Form Responses 1'!B:J,6,FALSE)</f>
        <v>TATSUNO</v>
      </c>
      <c r="H114" s="26" t="str">
        <f>VLOOKUP(D114,'Form Responses 1'!B:J,7,FALSE)</f>
        <v>SSB 2442</v>
      </c>
      <c r="I114" s="26" t="str">
        <f>VLOOKUP(D114,'Form Responses 1'!B:J,8,FALSE)</f>
        <v>AA 298700</v>
      </c>
      <c r="J114" s="26" t="str">
        <f>VLOOKUP(D114,'Form Responses 1'!B:J,9,FALSE)</f>
        <v>65 L/min</v>
      </c>
      <c r="K114" s="23">
        <v>46049</v>
      </c>
      <c r="L114" s="30" t="s">
        <v>1340</v>
      </c>
      <c r="M114" s="28" t="b">
        <v>1</v>
      </c>
    </row>
    <row r="115" spans="1:13" ht="38.25">
      <c r="D115" s="31" t="s">
        <v>448</v>
      </c>
      <c r="E115" s="25" t="str">
        <f>VLOOKUP(D115,'Form Responses 1'!B:J,2,FALSE)</f>
        <v>Jl. Ronggowarsito No. 3 Legok Lor, Desa Pejagoan, Kecamatan Pejagoan, Kabupaten Kebumen</v>
      </c>
      <c r="F115" s="26" t="str">
        <f>VLOOKUP(D115,'Form Responses 1'!B:J,5,FALSE)</f>
        <v>PU BBM</v>
      </c>
      <c r="G115" s="26" t="str">
        <f>VLOOKUP(D115,'Form Responses 1'!B:J,6,FALSE)</f>
        <v>TATSUNO</v>
      </c>
      <c r="H115" s="26" t="str">
        <f>VLOOKUP(D115,'Form Responses 1'!B:J,7,FALSE)</f>
        <v>SSB 3662</v>
      </c>
      <c r="I115" s="26" t="str">
        <f>VLOOKUP(D115,'Form Responses 1'!B:J,8,FALSE)</f>
        <v>AA 297485</v>
      </c>
      <c r="J115" s="26" t="str">
        <f>VLOOKUP(D115,'Form Responses 1'!B:J,9,FALSE)</f>
        <v>65 L/min</v>
      </c>
      <c r="L115" s="26"/>
      <c r="M115" s="28" t="b">
        <v>1</v>
      </c>
    </row>
    <row r="116" spans="1:13" ht="38.25">
      <c r="D116" s="32" t="s">
        <v>451</v>
      </c>
      <c r="E116" s="25" t="str">
        <f>VLOOKUP(D116,'Form Responses 1'!B:J,2,FALSE)</f>
        <v>Jl. Ronggowarsito No. 3 Legok Lor, Desa Pejagoan, Kecamatan Pejagoan, Kabupaten Kebumen</v>
      </c>
      <c r="F116" s="26" t="str">
        <f>VLOOKUP(D116,'Form Responses 1'!B:J,5,FALSE)</f>
        <v>PU BBM</v>
      </c>
      <c r="G116" s="26" t="str">
        <f>VLOOKUP(D116,'Form Responses 1'!B:J,6,FALSE)</f>
        <v>TATSUNO</v>
      </c>
      <c r="H116" s="26" t="str">
        <f>VLOOKUP(D116,'Form Responses 1'!B:J,7,FALSE)</f>
        <v>SSB 3662</v>
      </c>
      <c r="I116" s="26" t="str">
        <f>VLOOKUP(D116,'Form Responses 1'!B:J,8,FALSE)</f>
        <v>AA 297479</v>
      </c>
      <c r="J116" s="26" t="str">
        <f>VLOOKUP(D116,'Form Responses 1'!B:J,9,FALSE)</f>
        <v>65 L/min</v>
      </c>
      <c r="L116" s="26"/>
      <c r="M116" s="28" t="b">
        <v>1</v>
      </c>
    </row>
    <row r="117" spans="1:13" ht="38.25">
      <c r="A117" s="29">
        <v>52</v>
      </c>
      <c r="B117" s="29" t="s">
        <v>1378</v>
      </c>
      <c r="C117" s="23">
        <v>46050</v>
      </c>
      <c r="D117" s="31" t="s">
        <v>453</v>
      </c>
      <c r="E117" s="25" t="str">
        <f>VLOOKUP(D117,'Form Responses 1'!B:J,2,FALSE)</f>
        <v xml:space="preserve">Jl. Kejayan RT 02 RW 02, Desa Bocor, Kecamatan Buluspesantren, Kabupaten Kebumen </v>
      </c>
      <c r="F117" s="26" t="str">
        <f>VLOOKUP(D117,'Form Responses 1'!B:J,5,FALSE)</f>
        <v>PU BBM</v>
      </c>
      <c r="G117" s="26" t="str">
        <f>VLOOKUP(D117,'Form Responses 1'!B:J,6,FALSE)</f>
        <v xml:space="preserve">TATSUNO </v>
      </c>
      <c r="H117" s="26" t="str">
        <f>VLOOKUP(D117,'Form Responses 1'!B:J,7,FALSE)</f>
        <v xml:space="preserve">SSB 2442 </v>
      </c>
      <c r="I117" s="26" t="str">
        <f>VLOOKUP(D117,'Form Responses 1'!B:J,8,FALSE)</f>
        <v>AA 298696 2020-2</v>
      </c>
      <c r="J117" s="26" t="str">
        <f>VLOOKUP(D117,'Form Responses 1'!B:J,9,FALSE)</f>
        <v>65 L/m</v>
      </c>
      <c r="K117" s="23">
        <v>46050</v>
      </c>
      <c r="L117" s="30" t="s">
        <v>1340</v>
      </c>
      <c r="M117" s="28" t="b">
        <v>1</v>
      </c>
    </row>
    <row r="118" spans="1:13" ht="38.25">
      <c r="D118" s="32" t="s">
        <v>457</v>
      </c>
      <c r="E118" s="25" t="str">
        <f>VLOOKUP(D118,'Form Responses 1'!B:J,2,FALSE)</f>
        <v xml:space="preserve">Jl. Kejayan RT 02 RW 02, Desa Bocor, Kecamatan Buluspesantren, Kabupaten Kebumen </v>
      </c>
      <c r="F118" s="26" t="str">
        <f>VLOOKUP(D118,'Form Responses 1'!B:J,5,FALSE)</f>
        <v>PU BBM</v>
      </c>
      <c r="G118" s="26" t="str">
        <f>VLOOKUP(D118,'Form Responses 1'!B:J,6,FALSE)</f>
        <v xml:space="preserve">TATSUNO  </v>
      </c>
      <c r="H118" s="26" t="str">
        <f>VLOOKUP(D118,'Form Responses 1'!B:J,7,FALSE)</f>
        <v>SSB 3662</v>
      </c>
      <c r="I118" s="26" t="str">
        <f>VLOOKUP(D118,'Form Responses 1'!B:J,8,FALSE)</f>
        <v xml:space="preserve">AA 297484 2020-2 </v>
      </c>
      <c r="J118" s="26" t="str">
        <f>VLOOKUP(D118,'Form Responses 1'!B:J,9,FALSE)</f>
        <v>65L/m</v>
      </c>
      <c r="L118" s="26"/>
      <c r="M118" s="28" t="b">
        <v>1</v>
      </c>
    </row>
    <row r="119" spans="1:13" ht="38.25">
      <c r="D119" s="31" t="s">
        <v>461</v>
      </c>
      <c r="E119" s="25" t="str">
        <f>VLOOKUP(D119,'Form Responses 1'!B:J,2,FALSE)</f>
        <v xml:space="preserve">Jl. Kejayan RT 02 RW 02, Desa Bocor, Kecamatan Buluspesantren, Kabupaten Kebumen </v>
      </c>
      <c r="F119" s="26" t="str">
        <f>VLOOKUP(D119,'Form Responses 1'!B:J,5,FALSE)</f>
        <v>PU BBM</v>
      </c>
      <c r="G119" s="26" t="str">
        <f>VLOOKUP(D119,'Form Responses 1'!B:J,6,FALSE)</f>
        <v xml:space="preserve">TATSUNO   </v>
      </c>
      <c r="H119" s="26" t="str">
        <f>VLOOKUP(D119,'Form Responses 1'!B:J,7,FALSE)</f>
        <v>SSB 3662</v>
      </c>
      <c r="I119" s="26" t="str">
        <f>VLOOKUP(D119,'Form Responses 1'!B:J,8,FALSE)</f>
        <v>AA 297481 2020-2</v>
      </c>
      <c r="J119" s="26" t="str">
        <f>VLOOKUP(D119,'Form Responses 1'!B:J,9,FALSE)</f>
        <v>65 L/m</v>
      </c>
      <c r="L119" s="26"/>
      <c r="M119" s="28" t="b">
        <v>1</v>
      </c>
    </row>
    <row r="120" spans="1:13" ht="25.5">
      <c r="A120" s="29">
        <v>53</v>
      </c>
      <c r="B120" s="29" t="s">
        <v>1379</v>
      </c>
      <c r="C120" s="23">
        <v>46051</v>
      </c>
      <c r="D120" s="32" t="s">
        <v>464</v>
      </c>
      <c r="E120" s="25" t="str">
        <f>VLOOKUP(D120,'Form Responses 1'!B:J,2,FALSE)</f>
        <v>Jl. Tentara Pelajar No. 10 Karanganyar Kabupaten Kebumen</v>
      </c>
      <c r="F120" s="26" t="str">
        <f>VLOOKUP(D120,'Form Responses 1'!B:J,5,FALSE)</f>
        <v>Timbangan Elektronik</v>
      </c>
      <c r="G120" s="26" t="str">
        <f>VLOOKUP(D120,'Form Responses 1'!B:J,6,FALSE)</f>
        <v>Great Scale</v>
      </c>
      <c r="H120" s="26" t="str">
        <f>VLOOKUP(D120,'Form Responses 1'!B:J,7,FALSE)</f>
        <v>XK 3190A7</v>
      </c>
      <c r="I120" s="26" t="str">
        <f>VLOOKUP(D120,'Form Responses 1'!B:J,8,FALSE)</f>
        <v>A1E02011017</v>
      </c>
      <c r="J120" s="26" t="str">
        <f>VLOOKUP(D120,'Form Responses 1'!B:J,9,FALSE)</f>
        <v>75 kg/10 g</v>
      </c>
      <c r="K120" s="23">
        <v>46050</v>
      </c>
      <c r="L120" s="30" t="s">
        <v>1326</v>
      </c>
      <c r="M120" s="28" t="b">
        <v>1</v>
      </c>
    </row>
    <row r="121" spans="1:13" ht="38.25">
      <c r="A121" s="29">
        <v>54</v>
      </c>
      <c r="B121" s="29" t="s">
        <v>1380</v>
      </c>
      <c r="C121" s="23">
        <v>46051</v>
      </c>
      <c r="D121" s="35" t="s">
        <v>475</v>
      </c>
      <c r="E121" s="25" t="str">
        <f>VLOOKUP(D121,'Form Responses 1'!B:J,2,FALSE)</f>
        <v>Jl. Yos Sudarso No. 122, Desa Wero, Kecamatan Gombong, Kabupaten Kebumen</v>
      </c>
      <c r="F121" s="26" t="str">
        <f>VLOOKUP(D121,'Form Responses 1'!B:J,5,FALSE)</f>
        <v>PU BBM</v>
      </c>
      <c r="G121" s="26" t="str">
        <f>VLOOKUP(D121,'Form Responses 1'!B:J,6,FALSE)</f>
        <v>GILBARCO</v>
      </c>
      <c r="H121" s="26" t="str">
        <f>VLOOKUP(D121,'Form Responses 1'!B:J,7,FALSE)</f>
        <v>B 21</v>
      </c>
      <c r="I121" s="26" t="str">
        <f>VLOOKUP(D121,'Form Responses 1'!B:J,8,FALSE)</f>
        <v>HEPA 097853</v>
      </c>
      <c r="J121" s="26" t="str">
        <f>VLOOKUP(D121,'Form Responses 1'!B:J,9,FALSE)</f>
        <v>50 L/min</v>
      </c>
      <c r="K121" s="23">
        <v>46051</v>
      </c>
      <c r="L121" s="30" t="s">
        <v>1340</v>
      </c>
      <c r="M121" s="28" t="b">
        <v>1</v>
      </c>
    </row>
    <row r="122" spans="1:13" ht="38.25">
      <c r="A122" s="29">
        <v>55</v>
      </c>
      <c r="B122" s="29" t="s">
        <v>1381</v>
      </c>
      <c r="C122" s="23">
        <v>46051</v>
      </c>
      <c r="D122" s="32" t="s">
        <v>479</v>
      </c>
      <c r="E122" s="25" t="str">
        <f>VLOOKUP(D122,'Form Responses 1'!B:J,2,FALSE)</f>
        <v>Jl. Raya Karanganyar - Gombong, Desa Kedungpuji, Kecamatan Gombong, Kabupaten Gombong</v>
      </c>
      <c r="F122" s="26" t="str">
        <f>VLOOKUP(D122,'Form Responses 1'!B:J,5,FALSE)</f>
        <v>PU BBM</v>
      </c>
      <c r="G122" s="26" t="str">
        <f>VLOOKUP(D122,'Form Responses 1'!B:J,6,FALSE)</f>
        <v>TATSUNO</v>
      </c>
      <c r="H122" s="26" t="str">
        <f>VLOOKUP(D122,'Form Responses 1'!B:J,7,FALSE)</f>
        <v>GSA 1221</v>
      </c>
      <c r="I122" s="26" t="str">
        <f>VLOOKUP(D122,'Form Responses 1'!B:J,8,FALSE)</f>
        <v>AA 161715 2007-4</v>
      </c>
      <c r="J122" s="26" t="str">
        <f>VLOOKUP(D122,'Form Responses 1'!B:J,9,FALSE)</f>
        <v>60 L/min</v>
      </c>
      <c r="K122" s="23">
        <v>46051</v>
      </c>
      <c r="L122" s="30" t="s">
        <v>1340</v>
      </c>
      <c r="M122" s="28" t="b">
        <v>1</v>
      </c>
    </row>
    <row r="123" spans="1:13" ht="38.25">
      <c r="D123" s="31" t="s">
        <v>482</v>
      </c>
      <c r="E123" s="25" t="str">
        <f>VLOOKUP(D123,'Form Responses 1'!B:J,2,FALSE)</f>
        <v>Jl. Raya Karanganyar - Gombong, Desa Kedungpuji, Kecamatan Gombong, Kabupaten Gombong</v>
      </c>
      <c r="F123" s="26" t="str">
        <f>VLOOKUP(D123,'Form Responses 1'!B:J,5,FALSE)</f>
        <v>PU BBM</v>
      </c>
      <c r="G123" s="26" t="str">
        <f>VLOOKUP(D123,'Form Responses 1'!B:J,6,FALSE)</f>
        <v>TATSUNO</v>
      </c>
      <c r="H123" s="26" t="str">
        <f>VLOOKUP(D123,'Form Responses 1'!B:J,7,FALSE)</f>
        <v>GSA 1221</v>
      </c>
      <c r="I123" s="26" t="str">
        <f>VLOOKUP(D123,'Form Responses 1'!B:J,8,FALSE)</f>
        <v>AA 161714 2007-4</v>
      </c>
      <c r="J123" s="26" t="str">
        <f>VLOOKUP(D123,'Form Responses 1'!B:J,9,FALSE)</f>
        <v>60 L/min</v>
      </c>
      <c r="L123" s="26"/>
      <c r="M123" s="36" t="b">
        <v>0</v>
      </c>
    </row>
    <row r="124" spans="1:13" ht="38.25">
      <c r="D124" s="32" t="s">
        <v>484</v>
      </c>
      <c r="E124" s="25" t="str">
        <f>VLOOKUP(D124,'Form Responses 1'!B:J,2,FALSE)</f>
        <v>Jl. Raya Karanganyar - Gombong, Desa Kedungpuji, Kecamatan Gombong, Kabupaten Gombong</v>
      </c>
      <c r="F124" s="26" t="str">
        <f>VLOOKUP(D124,'Form Responses 1'!B:J,5,FALSE)</f>
        <v>PU BBM</v>
      </c>
      <c r="G124" s="26" t="str">
        <f>VLOOKUP(D124,'Form Responses 1'!B:J,6,FALSE)</f>
        <v>TATSUNO</v>
      </c>
      <c r="H124" s="26" t="str">
        <f>VLOOKUP(D124,'Form Responses 1'!B:J,7,FALSE)</f>
        <v>ADAT 2222-HP</v>
      </c>
      <c r="I124" s="26" t="str">
        <f>VLOOKUP(D124,'Form Responses 1'!B:J,8,FALSE)</f>
        <v>AA 048094 95-10</v>
      </c>
      <c r="J124" s="26" t="str">
        <f>VLOOKUP(D124,'Form Responses 1'!B:J,9,FALSE)</f>
        <v>50 L/min</v>
      </c>
      <c r="L124" s="26"/>
      <c r="M124" s="36" t="b">
        <v>0</v>
      </c>
    </row>
    <row r="125" spans="1:13" ht="38.25">
      <c r="D125" s="31" t="s">
        <v>487</v>
      </c>
      <c r="E125" s="25" t="str">
        <f>VLOOKUP(D125,'Form Responses 1'!B:J,2,FALSE)</f>
        <v>Jl. Raya Karanganyar - Gombong, Desa Kedungpuji, Kecamatan Gombong, Kabupaten Gombong</v>
      </c>
      <c r="F125" s="26" t="str">
        <f>VLOOKUP(D125,'Form Responses 1'!B:J,5,FALSE)</f>
        <v>PU BBM</v>
      </c>
      <c r="G125" s="26" t="str">
        <f>VLOOKUP(D125,'Form Responses 1'!B:J,6,FALSE)</f>
        <v>TATSUNO</v>
      </c>
      <c r="H125" s="26" t="str">
        <f>VLOOKUP(D125,'Form Responses 1'!B:J,7,FALSE)</f>
        <v>GSA 1221</v>
      </c>
      <c r="I125" s="26" t="str">
        <f>VLOOKUP(D125,'Form Responses 1'!B:J,8,FALSE)</f>
        <v>AA 161705 2007-4</v>
      </c>
      <c r="J125" s="26" t="str">
        <f>VLOOKUP(D125,'Form Responses 1'!B:J,9,FALSE)</f>
        <v>60 L/min</v>
      </c>
      <c r="L125" s="26"/>
      <c r="M125" s="36" t="b">
        <v>0</v>
      </c>
    </row>
    <row r="126" spans="1:13" ht="38.25">
      <c r="D126" s="32" t="s">
        <v>489</v>
      </c>
      <c r="E126" s="25" t="str">
        <f>VLOOKUP(D126,'Form Responses 1'!B:J,2,FALSE)</f>
        <v>Jl. Raya Karanganyar - Gombong, Desa Kedungpuji, Kecamatan Gombong, Kabupaten Gombong</v>
      </c>
      <c r="F126" s="26" t="str">
        <f>VLOOKUP(D126,'Form Responses 1'!B:J,5,FALSE)</f>
        <v>PU BBM</v>
      </c>
      <c r="G126" s="26" t="str">
        <f>VLOOKUP(D126,'Form Responses 1'!B:J,6,FALSE)</f>
        <v>TATSUNO</v>
      </c>
      <c r="H126" s="26" t="str">
        <f>VLOOKUP(D126,'Form Responses 1'!B:J,7,FALSE)</f>
        <v>GSA 1221</v>
      </c>
      <c r="I126" s="26" t="str">
        <f>VLOOKUP(D126,'Form Responses 1'!B:J,8,FALSE)</f>
        <v>AA 161706 2007-4</v>
      </c>
      <c r="J126" s="26" t="str">
        <f>VLOOKUP(D126,'Form Responses 1'!B:J,9,FALSE)</f>
        <v>60 L/min</v>
      </c>
      <c r="L126" s="26"/>
      <c r="M126" s="36" t="b">
        <v>0</v>
      </c>
    </row>
    <row r="127" spans="1:13" ht="38.25">
      <c r="A127" s="29">
        <v>56</v>
      </c>
      <c r="B127" s="29" t="s">
        <v>1382</v>
      </c>
      <c r="C127" s="23">
        <v>46052</v>
      </c>
      <c r="D127" s="31" t="s">
        <v>470</v>
      </c>
      <c r="E127" s="25" t="str">
        <f>VLOOKUP(D127,'Form Responses 1'!B:J,2,FALSE)</f>
        <v>Jl. Raya Sokka-Petanahan RT. 04/RW.02, Kedawung, Pejagoan, Kebumen</v>
      </c>
      <c r="F127" s="26" t="str">
        <f>VLOOKUP(D127,'Form Responses 1'!B:J,5,FALSE)</f>
        <v>Neraca Obat</v>
      </c>
      <c r="G127" s="26" t="str">
        <f>VLOOKUP(D127,'Form Responses 1'!B:J,6,FALSE)</f>
        <v>SNS</v>
      </c>
      <c r="H127" s="26" t="str">
        <f>VLOOKUP(D127,'Form Responses 1'!B:J,7,FALSE)</f>
        <v>-</v>
      </c>
      <c r="I127" s="26">
        <f>VLOOKUP(D127,'Form Responses 1'!B:J,8,FALSE)</f>
        <v>231043</v>
      </c>
      <c r="J127" s="26" t="str">
        <f>VLOOKUP(D127,'Form Responses 1'!B:J,9,FALSE)</f>
        <v>50 g/5 mg</v>
      </c>
      <c r="K127" s="23">
        <v>46051</v>
      </c>
      <c r="L127" s="30" t="s">
        <v>1326</v>
      </c>
      <c r="M127" s="28" t="b">
        <v>1</v>
      </c>
    </row>
    <row r="128" spans="1:13" ht="12.75">
      <c r="A128" s="29">
        <v>57</v>
      </c>
      <c r="B128" s="29" t="s">
        <v>1383</v>
      </c>
      <c r="C128" s="37">
        <v>46055</v>
      </c>
      <c r="D128" s="32" t="s">
        <v>491</v>
      </c>
      <c r="E128" s="25" t="str">
        <f>VLOOKUP(D128,'Form Responses 1'!B:J,2,FALSE)</f>
        <v>Jl Yos Sudarso 331 Gombong</v>
      </c>
      <c r="F128" s="26" t="str">
        <f>VLOOKUP(D128,'Form Responses 1'!B:J,5,FALSE)</f>
        <v>Timbangan Elektronik</v>
      </c>
      <c r="G128" s="26" t="str">
        <f>VLOOKUP(D128,'Form Responses 1'!B:J,6,FALSE)</f>
        <v>AND</v>
      </c>
      <c r="H128" s="26" t="str">
        <f>VLOOKUP(D128,'Form Responses 1'!B:J,7,FALSE)</f>
        <v>HT-120</v>
      </c>
      <c r="I128" s="26">
        <f>VLOOKUP(D128,'Form Responses 1'!B:J,8,FALSE)</f>
        <v>5170200021</v>
      </c>
      <c r="J128" s="26" t="str">
        <f>VLOOKUP(D128,'Form Responses 1'!B:J,9,FALSE)</f>
        <v>120g x 0.01g</v>
      </c>
      <c r="K128" s="37">
        <v>46055</v>
      </c>
      <c r="L128" s="30" t="s">
        <v>1324</v>
      </c>
      <c r="M128" s="28" t="b">
        <v>1</v>
      </c>
    </row>
    <row r="129" spans="1:13" ht="38.25">
      <c r="A129" s="29">
        <v>58</v>
      </c>
      <c r="B129" s="29" t="s">
        <v>1384</v>
      </c>
      <c r="C129" s="37">
        <v>46056</v>
      </c>
      <c r="D129" s="31" t="s">
        <v>494</v>
      </c>
      <c r="E129" s="25" t="str">
        <f>VLOOKUP(D129,'Form Responses 1'!B:J,2,FALSE)</f>
        <v>Jl. Raya Jatijajar km 5 Desa Rowokele, Kecamatan Rowokele, Kabupaten Kebumen</v>
      </c>
      <c r="F129" s="26" t="str">
        <f>VLOOKUP(D129,'Form Responses 1'!B:J,5,FALSE)</f>
        <v>PU BBM</v>
      </c>
      <c r="G129" s="26" t="str">
        <f>VLOOKUP(D129,'Form Responses 1'!B:J,6,FALSE)</f>
        <v>TATSUNO</v>
      </c>
      <c r="H129" s="26" t="str">
        <f>VLOOKUP(D129,'Form Responses 1'!B:J,7,FALSE)</f>
        <v>SSB 2444</v>
      </c>
      <c r="I129" s="26" t="str">
        <f>VLOOKUP(D129,'Form Responses 1'!B:J,8,FALSE)</f>
        <v>AA 225653 2013-6</v>
      </c>
      <c r="J129" s="26" t="str">
        <f>VLOOKUP(D129,'Form Responses 1'!B:J,9,FALSE)</f>
        <v>65 L/min</v>
      </c>
      <c r="K129" s="23">
        <v>46052</v>
      </c>
      <c r="L129" s="30" t="s">
        <v>1340</v>
      </c>
      <c r="M129" s="28" t="b">
        <v>1</v>
      </c>
    </row>
    <row r="130" spans="1:13" ht="38.25">
      <c r="D130" s="32" t="s">
        <v>498</v>
      </c>
      <c r="E130" s="25" t="str">
        <f>VLOOKUP(D130,'Form Responses 1'!B:J,2,FALSE)</f>
        <v>Jl. Raya Jatijajar km 5 Desa Rowokele, Kecamatan Rowokele, Kabupaten Kebumen</v>
      </c>
      <c r="F130" s="26" t="str">
        <f>VLOOKUP(D130,'Form Responses 1'!B:J,5,FALSE)</f>
        <v>PU BBM</v>
      </c>
      <c r="G130" s="26" t="str">
        <f>VLOOKUP(D130,'Form Responses 1'!B:J,6,FALSE)</f>
        <v>TATSUNO</v>
      </c>
      <c r="H130" s="26" t="str">
        <f>VLOOKUP(D130,'Form Responses 1'!B:J,7,FALSE)</f>
        <v>SSB 3662</v>
      </c>
      <c r="I130" s="26" t="str">
        <f>VLOOKUP(D130,'Form Responses 1'!B:J,8,FALSE)</f>
        <v>AA 243365 2015-3</v>
      </c>
      <c r="J130" s="26" t="str">
        <f>VLOOKUP(D130,'Form Responses 1'!B:J,9,FALSE)</f>
        <v>65 L/min</v>
      </c>
      <c r="L130" s="26"/>
      <c r="M130" s="36" t="b">
        <v>0</v>
      </c>
    </row>
    <row r="131" spans="1:13" ht="38.25">
      <c r="A131" s="29">
        <v>59</v>
      </c>
      <c r="B131" s="29" t="s">
        <v>1385</v>
      </c>
      <c r="C131" s="23">
        <v>46056</v>
      </c>
      <c r="D131" s="31" t="s">
        <v>515</v>
      </c>
      <c r="E131" s="25" t="str">
        <f>VLOOKUP(D131,'Form Responses 1'!B:J,2,FALSE)</f>
        <v>Jl. Raya Gombong Km 05, Desa Jatiroto, Kecamatan Buayan, Kabupaten Kebumen</v>
      </c>
      <c r="F131" s="26" t="str">
        <f>VLOOKUP(D131,'Form Responses 1'!B:J,5,FALSE)</f>
        <v>PU BBM</v>
      </c>
      <c r="G131" s="26" t="str">
        <f>VLOOKUP(D131,'Form Responses 1'!B:J,6,FALSE)</f>
        <v xml:space="preserve">TATSUNO   </v>
      </c>
      <c r="H131" s="26" t="str">
        <f>VLOOKUP(D131,'Form Responses 1'!B:J,7,FALSE)</f>
        <v>GDA 2222</v>
      </c>
      <c r="I131" s="26" t="str">
        <f>VLOOKUP(D131,'Form Responses 1'!B:J,8,FALSE)</f>
        <v>AA162154 2007-5</v>
      </c>
      <c r="J131" s="26" t="str">
        <f>VLOOKUP(D131,'Form Responses 1'!B:J,9,FALSE)</f>
        <v>60 L/Min</v>
      </c>
      <c r="K131" s="23">
        <v>46055</v>
      </c>
      <c r="L131" s="30" t="s">
        <v>1340</v>
      </c>
      <c r="M131" s="28" t="b">
        <v>1</v>
      </c>
    </row>
    <row r="132" spans="1:13" ht="38.25">
      <c r="D132" s="32" t="s">
        <v>520</v>
      </c>
      <c r="E132" s="25" t="str">
        <f>VLOOKUP(D132,'Form Responses 1'!B:J,2,FALSE)</f>
        <v>Jl. Raya Gombong Km 05, Desa Jatiroto, Kecamatan Buayan, Kabupaten Kebumen</v>
      </c>
      <c r="F132" s="26" t="str">
        <f>VLOOKUP(D132,'Form Responses 1'!B:J,5,FALSE)</f>
        <v>PU BBM</v>
      </c>
      <c r="G132" s="26" t="str">
        <f>VLOOKUP(D132,'Form Responses 1'!B:J,6,FALSE)</f>
        <v xml:space="preserve">TATSUNO   </v>
      </c>
      <c r="H132" s="26" t="str">
        <f>VLOOKUP(D132,'Form Responses 1'!B:J,7,FALSE)</f>
        <v>SSA 2442</v>
      </c>
      <c r="I132" s="26" t="str">
        <f>VLOOKUP(D132,'Form Responses 1'!B:J,8,FALSE)</f>
        <v>AA330471 2023-11</v>
      </c>
      <c r="J132" s="26" t="str">
        <f>VLOOKUP(D132,'Form Responses 1'!B:J,9,FALSE)</f>
        <v>65 L/Min</v>
      </c>
      <c r="L132" s="26"/>
      <c r="M132" s="36" t="b">
        <v>0</v>
      </c>
    </row>
    <row r="133" spans="1:13" ht="38.25">
      <c r="D133" s="31" t="s">
        <v>523</v>
      </c>
      <c r="E133" s="25" t="str">
        <f>VLOOKUP(D133,'Form Responses 1'!B:J,2,FALSE)</f>
        <v>Jl. Raya Gombong Km 05, Desa Jatiroto, Kecamatan Buayan, Kabupaten Kebumen</v>
      </c>
      <c r="F133" s="26" t="str">
        <f>VLOOKUP(D133,'Form Responses 1'!B:J,5,FALSE)</f>
        <v>PU BBM</v>
      </c>
      <c r="G133" s="26" t="str">
        <f>VLOOKUP(D133,'Form Responses 1'!B:J,6,FALSE)</f>
        <v xml:space="preserve">TOMINAGA   </v>
      </c>
      <c r="H133" s="26" t="str">
        <f>VLOOKUP(D133,'Form Responses 1'!B:J,7,FALSE)</f>
        <v>HIXC 4442</v>
      </c>
      <c r="I133" s="26" t="str">
        <f>VLOOKUP(D133,'Form Responses 1'!B:J,8,FALSE)</f>
        <v>H 2088-91</v>
      </c>
      <c r="J133" s="26" t="str">
        <f>VLOOKUP(D133,'Form Responses 1'!B:J,9,FALSE)</f>
        <v>40 L/Min</v>
      </c>
      <c r="L133" s="26"/>
      <c r="M133" s="36" t="b">
        <v>0</v>
      </c>
    </row>
    <row r="134" spans="1:13" ht="38.25">
      <c r="D134" s="32" t="s">
        <v>528</v>
      </c>
      <c r="E134" s="25" t="str">
        <f>VLOOKUP(D134,'Form Responses 1'!B:J,2,FALSE)</f>
        <v>Jl. Raya Gombong Km 05, Desa Jatiroto, Kecamatan Buayan, Kabupaten Kebumen</v>
      </c>
      <c r="F134" s="26" t="str">
        <f>VLOOKUP(D134,'Form Responses 1'!B:J,5,FALSE)</f>
        <v>PU BBM</v>
      </c>
      <c r="G134" s="26" t="str">
        <f>VLOOKUP(D134,'Form Responses 1'!B:J,6,FALSE)</f>
        <v xml:space="preserve">TATSUNO </v>
      </c>
      <c r="H134" s="26" t="str">
        <f>VLOOKUP(D134,'Form Responses 1'!B:J,7,FALSE)</f>
        <v>GDA 2221</v>
      </c>
      <c r="I134" s="26" t="str">
        <f>VLOOKUP(D134,'Form Responses 1'!B:J,8,FALSE)</f>
        <v xml:space="preserve">AA141804 2005-10 </v>
      </c>
      <c r="J134" s="26" t="str">
        <f>VLOOKUP(D134,'Form Responses 1'!B:J,9,FALSE)</f>
        <v>60 L/Min</v>
      </c>
      <c r="L134" s="26"/>
      <c r="M134" s="36" t="b">
        <v>0</v>
      </c>
    </row>
    <row r="135" spans="1:13" ht="38.25">
      <c r="A135" s="29">
        <v>60</v>
      </c>
      <c r="B135" s="29" t="s">
        <v>1386</v>
      </c>
      <c r="C135" s="23">
        <v>46056</v>
      </c>
      <c r="D135" s="31" t="s">
        <v>500</v>
      </c>
      <c r="E135" s="25" t="str">
        <f>VLOOKUP(D135,'Form Responses 1'!B:J,2,FALSE)</f>
        <v xml:space="preserve">Jl. Raya Gombong - Kebumen, Ds. Kedungpuji, Kecamatan Gombong, Kabupaten Kebumen </v>
      </c>
      <c r="F135" s="26" t="str">
        <f>VLOOKUP(D135,'Form Responses 1'!B:J,5,FALSE)</f>
        <v>PU BBM</v>
      </c>
      <c r="G135" s="26" t="str">
        <f>VLOOKUP(D135,'Form Responses 1'!B:J,6,FALSE)</f>
        <v>TATSUNO</v>
      </c>
      <c r="H135" s="26" t="str">
        <f>VLOOKUP(D135,'Form Responses 1'!B:J,7,FALSE)</f>
        <v>GSA 1221</v>
      </c>
      <c r="I135" s="26" t="str">
        <f>VLOOKUP(D135,'Form Responses 1'!B:J,8,FALSE)</f>
        <v>AA 161705 2007-4</v>
      </c>
      <c r="J135" s="26" t="str">
        <f>VLOOKUP(D135,'Form Responses 1'!B:J,9,FALSE)</f>
        <v>60 L/min Pertalite</v>
      </c>
      <c r="K135" s="23">
        <v>46055</v>
      </c>
      <c r="L135" s="30" t="s">
        <v>1340</v>
      </c>
      <c r="M135" s="28" t="b">
        <v>1</v>
      </c>
    </row>
    <row r="136" spans="1:13" ht="38.25">
      <c r="D136" s="32" t="s">
        <v>503</v>
      </c>
      <c r="E136" s="25" t="str">
        <f>VLOOKUP(D136,'Form Responses 1'!B:J,2,FALSE)</f>
        <v xml:space="preserve">Jl. Raya Gombong - Kebumen, Ds. Kedungpuji, Kecamatan Gombong, Kabupaten Kebumen </v>
      </c>
      <c r="F136" s="26" t="str">
        <f>VLOOKUP(D136,'Form Responses 1'!B:J,5,FALSE)</f>
        <v>PU BBM</v>
      </c>
      <c r="G136" s="26" t="str">
        <f>VLOOKUP(D136,'Form Responses 1'!B:J,6,FALSE)</f>
        <v xml:space="preserve">TATSUNO </v>
      </c>
      <c r="H136" s="26" t="str">
        <f>VLOOKUP(D136,'Form Responses 1'!B:J,7,FALSE)</f>
        <v>GSA 1221</v>
      </c>
      <c r="I136" s="26" t="str">
        <f>VLOOKUP(D136,'Form Responses 1'!B:J,8,FALSE)</f>
        <v>AA 161706 2007-4</v>
      </c>
      <c r="J136" s="26" t="str">
        <f>VLOOKUP(D136,'Form Responses 1'!B:J,9,FALSE)</f>
        <v>60 L/min Pertamax</v>
      </c>
      <c r="L136" s="26"/>
      <c r="M136" s="36" t="b">
        <v>0</v>
      </c>
    </row>
    <row r="137" spans="1:13" ht="38.25">
      <c r="A137" s="29">
        <v>61</v>
      </c>
      <c r="B137" s="29" t="s">
        <v>1387</v>
      </c>
      <c r="C137" s="23">
        <v>46056</v>
      </c>
      <c r="D137" s="31" t="s">
        <v>505</v>
      </c>
      <c r="E137" s="25" t="str">
        <f>VLOOKUP(D137,'Form Responses 1'!B:J,2,FALSE)</f>
        <v>Jl. Puring No.Km. 3, Pekiringan, Kalitengah, Kec. Gombong, Kabupaten Kebumen</v>
      </c>
      <c r="F137" s="26" t="str">
        <f>VLOOKUP(D137,'Form Responses 1'!B:J,5,FALSE)</f>
        <v>PU BBM</v>
      </c>
      <c r="G137" s="26" t="str">
        <f>VLOOKUP(D137,'Form Responses 1'!B:J,6,FALSE)</f>
        <v>KOREA EnE</v>
      </c>
      <c r="H137" s="26" t="str">
        <f>VLOOKUP(D137,'Form Responses 1'!B:J,7,FALSE)</f>
        <v>MT 4S</v>
      </c>
      <c r="I137" s="26" t="str">
        <f>VLOOKUP(D137,'Form Responses 1'!B:J,8,FALSE)</f>
        <v>EO-7384, EO-7385, EO-7386</v>
      </c>
      <c r="J137" s="26" t="str">
        <f>VLOOKUP(D137,'Form Responses 1'!B:J,9,FALSE)</f>
        <v>45 L/min</v>
      </c>
      <c r="K137" s="23">
        <v>46056</v>
      </c>
      <c r="L137" s="30" t="s">
        <v>1340</v>
      </c>
      <c r="M137" s="28" t="b">
        <v>1</v>
      </c>
    </row>
    <row r="138" spans="1:13" ht="38.25">
      <c r="D138" s="32" t="s">
        <v>511</v>
      </c>
      <c r="E138" s="25" t="str">
        <f>VLOOKUP(D138,'Form Responses 1'!B:J,2,FALSE)</f>
        <v>Jl. Puring No.Km. 3, Pekiringan, Kalitengah, Kec. Gombong, Kabupaten Kebumen</v>
      </c>
      <c r="F138" s="26" t="str">
        <f>VLOOKUP(D138,'Form Responses 1'!B:J,5,FALSE)</f>
        <v>PU BBM</v>
      </c>
      <c r="G138" s="26" t="str">
        <f>VLOOKUP(D138,'Form Responses 1'!B:J,6,FALSE)</f>
        <v>KOREA EnE</v>
      </c>
      <c r="H138" s="26" t="str">
        <f>VLOOKUP(D138,'Form Responses 1'!B:J,7,FALSE)</f>
        <v>MT 4S</v>
      </c>
      <c r="I138" s="26" t="str">
        <f>VLOOKUP(D138,'Form Responses 1'!B:J,8,FALSE)</f>
        <v>EO-7889, EO-7890, EO-7891, EO-7892</v>
      </c>
      <c r="J138" s="26" t="str">
        <f>VLOOKUP(D138,'Form Responses 1'!B:J,9,FALSE)</f>
        <v>45 L/min</v>
      </c>
      <c r="L138" s="26"/>
      <c r="M138" s="36" t="b">
        <v>0</v>
      </c>
    </row>
    <row r="139" spans="1:13" ht="38.25">
      <c r="D139" s="31" t="s">
        <v>513</v>
      </c>
      <c r="E139" s="25" t="str">
        <f>VLOOKUP(D139,'Form Responses 1'!B:J,2,FALSE)</f>
        <v>Jl. Puring No.Km. 3, Pekiringan, Kalitengah, Kec. Gombong, Kabupaten Kebumen</v>
      </c>
      <c r="F139" s="26" t="str">
        <f>VLOOKUP(D139,'Form Responses 1'!B:J,5,FALSE)</f>
        <v>PU BBM</v>
      </c>
      <c r="G139" s="26" t="str">
        <f>VLOOKUP(D139,'Form Responses 1'!B:J,6,FALSE)</f>
        <v xml:space="preserve">GILBARCO </v>
      </c>
      <c r="H139" s="26" t="str">
        <f>VLOOKUP(D139,'Form Responses 1'!B:J,7,FALSE)</f>
        <v>B 21</v>
      </c>
      <c r="I139" s="26" t="str">
        <f>VLOOKUP(D139,'Form Responses 1'!B:J,8,FALSE)</f>
        <v>HEPA 097764</v>
      </c>
      <c r="J139" s="26" t="str">
        <f>VLOOKUP(D139,'Form Responses 1'!B:J,9,FALSE)</f>
        <v>50 L/min</v>
      </c>
      <c r="L139" s="26"/>
      <c r="M139" s="36" t="b">
        <v>0</v>
      </c>
    </row>
    <row r="140" spans="1:13" ht="38.25">
      <c r="A140" s="29">
        <v>62</v>
      </c>
      <c r="B140" s="29" t="s">
        <v>1388</v>
      </c>
      <c r="C140" s="23">
        <v>46057</v>
      </c>
      <c r="D140" s="32" t="s">
        <v>531</v>
      </c>
      <c r="E140" s="25" t="str">
        <f>VLOOKUP(D140,'Form Responses 1'!B:J,2,FALSE)</f>
        <v>Desa Kalitengah RT 02 RW 06, Kecamatan Gombong, Kabupaten Kebumen</v>
      </c>
      <c r="F140" s="26" t="str">
        <f>VLOOKUP(D140,'Form Responses 1'!B:J,5,FALSE)</f>
        <v>Timbangan Elektronik</v>
      </c>
      <c r="G140" s="26" t="str">
        <f>VLOOKUP(D140,'Form Responses 1'!B:J,6,FALSE)</f>
        <v xml:space="preserve">GREAT SCALE </v>
      </c>
      <c r="H140" s="26" t="str">
        <f>VLOOKUP(D140,'Form Responses 1'!B:J,7,FALSE)</f>
        <v>XK3190-A7</v>
      </c>
      <c r="I140" s="26" t="str">
        <f>VLOOKUP(D140,'Form Responses 1'!B:J,8,FALSE)</f>
        <v>AA05081127</v>
      </c>
      <c r="J140" s="26" t="str">
        <f>VLOOKUP(D140,'Form Responses 1'!B:J,9,FALSE)</f>
        <v xml:space="preserve">150 kg / 20 g </v>
      </c>
      <c r="K140" s="23">
        <v>46056</v>
      </c>
      <c r="L140" s="30" t="s">
        <v>1326</v>
      </c>
      <c r="M140" s="28" t="b">
        <v>1</v>
      </c>
    </row>
    <row r="141" spans="1:13" ht="51">
      <c r="A141" s="29">
        <v>63</v>
      </c>
      <c r="B141" s="29" t="s">
        <v>1389</v>
      </c>
      <c r="C141" s="23">
        <v>46057</v>
      </c>
      <c r="D141" s="31" t="s">
        <v>536</v>
      </c>
      <c r="E141" s="25" t="str">
        <f>VLOOKUP(D141,'Form Responses 1'!B:J,2,FALSE)</f>
        <v>Jl. Tentara Pelajar No. 168 Desa Semanding RT 04 RW 07, Kecamatan Gombong, Kabupaten Kebumen</v>
      </c>
      <c r="F141" s="26" t="str">
        <f>VLOOKUP(D141,'Form Responses 1'!B:J,5,FALSE)</f>
        <v>PU BBM</v>
      </c>
      <c r="G141" s="26" t="str">
        <f>VLOOKUP(D141,'Form Responses 1'!B:J,6,FALSE)</f>
        <v>TATSUNO</v>
      </c>
      <c r="H141" s="26" t="str">
        <f>VLOOKUP(D141,'Form Responses 1'!B:J,7,FALSE)</f>
        <v>SSB 2442</v>
      </c>
      <c r="I141" s="26" t="str">
        <f>VLOOKUP(D141,'Form Responses 1'!B:J,8,FALSE)</f>
        <v>AA 233263 2014-2</v>
      </c>
      <c r="J141" s="26" t="str">
        <f>VLOOKUP(D141,'Form Responses 1'!B:J,9,FALSE)</f>
        <v>60 L/min</v>
      </c>
      <c r="K141" s="23">
        <v>46057</v>
      </c>
      <c r="L141" s="30" t="s">
        <v>1340</v>
      </c>
      <c r="M141" s="28" t="b">
        <v>1</v>
      </c>
    </row>
    <row r="142" spans="1:13" ht="51">
      <c r="D142" s="32" t="s">
        <v>539</v>
      </c>
      <c r="E142" s="25" t="str">
        <f>VLOOKUP(D142,'Form Responses 1'!B:J,2,FALSE)</f>
        <v>Jl. Tentara Pelajar No. 168 Desa Semanding RT 04 RW 07, Kecamatan Gombong, Kabupaten Kebumen</v>
      </c>
      <c r="F142" s="26" t="str">
        <f>VLOOKUP(D142,'Form Responses 1'!B:J,5,FALSE)</f>
        <v>PU BBM</v>
      </c>
      <c r="G142" s="26" t="str">
        <f>VLOOKUP(D142,'Form Responses 1'!B:J,6,FALSE)</f>
        <v>TATSUNO</v>
      </c>
      <c r="H142" s="26" t="str">
        <f>VLOOKUP(D142,'Form Responses 1'!B:J,7,FALSE)</f>
        <v>SSB 3662</v>
      </c>
      <c r="I142" s="26" t="str">
        <f>VLOOKUP(D142,'Form Responses 1'!B:J,8,FALSE)</f>
        <v>AA 277872 2018-6</v>
      </c>
      <c r="J142" s="26" t="str">
        <f>VLOOKUP(D142,'Form Responses 1'!B:J,9,FALSE)</f>
        <v>60 L/min</v>
      </c>
      <c r="L142" s="26"/>
      <c r="M142" s="36" t="b">
        <v>0</v>
      </c>
    </row>
    <row r="143" spans="1:13" ht="51">
      <c r="D143" s="31" t="s">
        <v>541</v>
      </c>
      <c r="E143" s="25" t="str">
        <f>VLOOKUP(D143,'Form Responses 1'!B:J,2,FALSE)</f>
        <v>Jl. Tentara Pelajar No. 168 Desa Semanding RT 04 RW 07, Kecamatan Gombong, Kabupaten Kebumen</v>
      </c>
      <c r="F143" s="26" t="str">
        <f>VLOOKUP(D143,'Form Responses 1'!B:J,5,FALSE)</f>
        <v>PU BBM</v>
      </c>
      <c r="G143" s="26" t="str">
        <f>VLOOKUP(D143,'Form Responses 1'!B:J,6,FALSE)</f>
        <v>TATSUNO</v>
      </c>
      <c r="H143" s="26" t="str">
        <f>VLOOKUP(D143,'Form Responses 1'!B:J,7,FALSE)</f>
        <v>SSB 2442</v>
      </c>
      <c r="I143" s="26" t="str">
        <f>VLOOKUP(D143,'Form Responses 1'!B:J,8,FALSE)</f>
        <v>AA 279116 2018-8</v>
      </c>
      <c r="J143" s="26" t="str">
        <f>VLOOKUP(D143,'Form Responses 1'!B:J,9,FALSE)</f>
        <v>60 L/min</v>
      </c>
      <c r="L143" s="26"/>
      <c r="M143" s="36" t="b">
        <v>0</v>
      </c>
    </row>
    <row r="144" spans="1:13" ht="38.25">
      <c r="A144" s="29">
        <v>64</v>
      </c>
      <c r="B144" s="29" t="s">
        <v>1390</v>
      </c>
      <c r="C144" s="23">
        <v>46058</v>
      </c>
      <c r="D144" s="32" t="s">
        <v>543</v>
      </c>
      <c r="E144" s="25" t="str">
        <f>VLOOKUP(D144,'Form Responses 1'!B:J,2,FALSE)</f>
        <v>Jl. Raya Karanganyar Timur km. 02,  Desa Candi, Kecamatan Karanganyar, Kabupaten Kebumen</v>
      </c>
      <c r="F144" s="26" t="str">
        <f>VLOOKUP(D144,'Form Responses 1'!B:J,5,FALSE)</f>
        <v>PU BBM</v>
      </c>
      <c r="G144" s="26" t="str">
        <f>VLOOKUP(D144,'Form Responses 1'!B:J,6,FALSE)</f>
        <v xml:space="preserve">TATSUNO </v>
      </c>
      <c r="H144" s="26" t="str">
        <f>VLOOKUP(D144,'Form Responses 1'!B:J,7,FALSE)</f>
        <v>GDA 2442</v>
      </c>
      <c r="I144" s="26" t="str">
        <f>VLOOKUP(D144,'Form Responses 1'!B:J,8,FALSE)</f>
        <v>AA 150554 2006-8</v>
      </c>
      <c r="J144" s="26" t="str">
        <f>VLOOKUP(D144,'Form Responses 1'!B:J,9,FALSE)</f>
        <v>60 L/min</v>
      </c>
      <c r="K144" s="23">
        <v>46058</v>
      </c>
      <c r="L144" s="30" t="s">
        <v>1340</v>
      </c>
      <c r="M144" s="28" t="b">
        <v>1</v>
      </c>
    </row>
    <row r="145" spans="1:13" ht="38.25">
      <c r="D145" s="31" t="s">
        <v>547</v>
      </c>
      <c r="E145" s="25" t="str">
        <f>VLOOKUP(D145,'Form Responses 1'!B:J,2,FALSE)</f>
        <v>Jl. Raya Karanganyar Timur km. 02,  Desa Candi, Kecamatan Karanganyar, Kabupaten Kebumen</v>
      </c>
      <c r="F145" s="26" t="str">
        <f>VLOOKUP(D145,'Form Responses 1'!B:J,5,FALSE)</f>
        <v>PU BBM</v>
      </c>
      <c r="G145" s="26" t="str">
        <f>VLOOKUP(D145,'Form Responses 1'!B:J,6,FALSE)</f>
        <v>TATSUNO</v>
      </c>
      <c r="H145" s="26" t="str">
        <f>VLOOKUP(D145,'Form Responses 1'!B:J,7,FALSE)</f>
        <v>GSA 2221</v>
      </c>
      <c r="I145" s="26" t="str">
        <f>VLOOKUP(D145,'Form Responses 1'!B:J,8,FALSE)</f>
        <v>AA 153134 2006-8</v>
      </c>
      <c r="J145" s="26" t="str">
        <f>VLOOKUP(D145,'Form Responses 1'!B:J,9,FALSE)</f>
        <v>60 L/min</v>
      </c>
      <c r="L145" s="26"/>
      <c r="M145" s="28" t="b">
        <v>1</v>
      </c>
    </row>
    <row r="146" spans="1:13" ht="38.25">
      <c r="D146" s="32" t="s">
        <v>550</v>
      </c>
      <c r="E146" s="25" t="str">
        <f>VLOOKUP(D146,'Form Responses 1'!B:J,2,FALSE)</f>
        <v>Jl. Raya Karanganyar Timur km. 02,  Desa Candi, Kecamatan Karanganyar, Kabupaten Kebumen</v>
      </c>
      <c r="F146" s="26" t="str">
        <f>VLOOKUP(D146,'Form Responses 1'!B:J,5,FALSE)</f>
        <v>PU BBM</v>
      </c>
      <c r="G146" s="26" t="str">
        <f>VLOOKUP(D146,'Form Responses 1'!B:J,6,FALSE)</f>
        <v xml:space="preserve">TATSUNO </v>
      </c>
      <c r="H146" s="26" t="str">
        <f>VLOOKUP(D146,'Form Responses 1'!B:J,7,FALSE)</f>
        <v>GSA 1221</v>
      </c>
      <c r="I146" s="26" t="str">
        <f>VLOOKUP(D146,'Form Responses 1'!B:J,8,FALSE)</f>
        <v>AA 158900 2007-1</v>
      </c>
      <c r="J146" s="26" t="str">
        <f>VLOOKUP(D146,'Form Responses 1'!B:J,9,FALSE)</f>
        <v>60 L/min</v>
      </c>
      <c r="L146" s="26"/>
      <c r="M146" s="28" t="b">
        <v>1</v>
      </c>
    </row>
    <row r="147" spans="1:13" ht="38.25">
      <c r="D147" s="31" t="s">
        <v>552</v>
      </c>
      <c r="E147" s="25" t="str">
        <f>VLOOKUP(D147,'Form Responses 1'!B:J,2,FALSE)</f>
        <v>Jl. Raya Karanganyar Timur km. 02,  Desa Candi, Kecamatan Karanganyar, Kabupaten Kebumen</v>
      </c>
      <c r="F147" s="26" t="str">
        <f>VLOOKUP(D147,'Form Responses 1'!B:J,5,FALSE)</f>
        <v>PU BBM</v>
      </c>
      <c r="G147" s="26" t="str">
        <f>VLOOKUP(D147,'Form Responses 1'!B:J,6,FALSE)</f>
        <v>TOMINAGA</v>
      </c>
      <c r="H147" s="26" t="str">
        <f>VLOOKUP(D147,'Form Responses 1'!B:J,7,FALSE)</f>
        <v xml:space="preserve">HIXC 4242 </v>
      </c>
      <c r="I147" s="26" t="str">
        <f>VLOOKUP(D147,'Form Responses 1'!B:J,8,FALSE)</f>
        <v>H 3261-64</v>
      </c>
      <c r="J147" s="26" t="str">
        <f>VLOOKUP(D147,'Form Responses 1'!B:J,9,FALSE)</f>
        <v xml:space="preserve">40L/min </v>
      </c>
      <c r="L147" s="26"/>
      <c r="M147" s="28" t="b">
        <v>1</v>
      </c>
    </row>
    <row r="148" spans="1:13" ht="38.25">
      <c r="A148" s="29">
        <v>65</v>
      </c>
      <c r="B148" s="29" t="s">
        <v>1391</v>
      </c>
      <c r="C148" s="23">
        <v>46062</v>
      </c>
      <c r="D148" s="32" t="s">
        <v>560</v>
      </c>
      <c r="E148" s="25" t="str">
        <f>VLOOKUP(D148,'Form Responses 1'!B:J,2,FALSE)</f>
        <v>Jl. Guyangan km.1, Desa Petanahan, Kecamatan Petanahan, Kabupaten Kebumen</v>
      </c>
      <c r="F148" s="26" t="str">
        <f>VLOOKUP(D148,'Form Responses 1'!B:J,5,FALSE)</f>
        <v>PU BBM</v>
      </c>
      <c r="G148" s="26" t="str">
        <f>VLOOKUP(D148,'Form Responses 1'!B:J,6,FALSE)</f>
        <v>TATSUNO</v>
      </c>
      <c r="H148" s="26" t="str">
        <f>VLOOKUP(D148,'Form Responses 1'!B:J,7,FALSE)</f>
        <v>SSA 2442</v>
      </c>
      <c r="I148" s="26" t="str">
        <f>VLOOKUP(D148,'Form Responses 1'!B:J,8,FALSE)</f>
        <v>AA 343847 2025-8</v>
      </c>
      <c r="J148" s="26" t="str">
        <f>VLOOKUP(D148,'Form Responses 1'!B:J,9,FALSE)</f>
        <v>65 L/min</v>
      </c>
      <c r="K148" s="23">
        <v>46060</v>
      </c>
      <c r="L148" s="30" t="s">
        <v>1392</v>
      </c>
      <c r="M148" s="28" t="b">
        <v>1</v>
      </c>
    </row>
    <row r="149" spans="1:13" ht="38.25">
      <c r="A149" s="29">
        <v>66</v>
      </c>
      <c r="B149" s="29" t="s">
        <v>1393</v>
      </c>
      <c r="C149" s="23">
        <v>46062</v>
      </c>
      <c r="D149" s="31" t="s">
        <v>556</v>
      </c>
      <c r="E149" s="25" t="str">
        <f>VLOOKUP(D149,'Form Responses 1'!B:J,2,FALSE)</f>
        <v>Desa Sitiadi RT 01/ RW 01, Kecamatan Puring, Kabupaten Kebumen</v>
      </c>
      <c r="F149" s="26" t="str">
        <f>VLOOKUP(D149,'Form Responses 1'!B:J,5,FALSE)</f>
        <v>Neraca Obat</v>
      </c>
      <c r="G149" s="26" t="str">
        <f>VLOOKUP(D149,'Form Responses 1'!B:J,6,FALSE)</f>
        <v xml:space="preserve">SNS </v>
      </c>
      <c r="H149" s="26" t="str">
        <f>VLOOKUP(D149,'Form Responses 1'!B:J,7,FALSE)</f>
        <v>-</v>
      </c>
      <c r="I149" s="26">
        <f>VLOOKUP(D149,'Form Responses 1'!B:J,8,FALSE)</f>
        <v>22296</v>
      </c>
      <c r="J149" s="26" t="str">
        <f>VLOOKUP(D149,'Form Responses 1'!B:J,9,FALSE)</f>
        <v>50 g / 25 mg</v>
      </c>
      <c r="K149" s="23">
        <v>46062</v>
      </c>
      <c r="L149" s="30" t="s">
        <v>1326</v>
      </c>
      <c r="M149" s="28" t="b">
        <v>1</v>
      </c>
    </row>
    <row r="150" spans="1:13" ht="38.25">
      <c r="A150" s="29">
        <v>67</v>
      </c>
      <c r="B150" s="29" t="s">
        <v>1394</v>
      </c>
      <c r="C150" s="23">
        <v>46062</v>
      </c>
      <c r="D150" s="32" t="s">
        <v>568</v>
      </c>
      <c r="E150" s="25" t="str">
        <f>VLOOKUP(D150,'Form Responses 1'!B:J,2,FALSE)</f>
        <v>Jl. Raya Gombong Barat km 3 Purbowangi, Kecamatan Buayan, Kabupaten Kebumen</v>
      </c>
      <c r="F150" s="26" t="str">
        <f>VLOOKUP(D150,'Form Responses 1'!B:J,5,FALSE)</f>
        <v>Timbangan Elektronik</v>
      </c>
      <c r="G150" s="26" t="str">
        <f>VLOOKUP(D150,'Form Responses 1'!B:J,6,FALSE)</f>
        <v>Digitech</v>
      </c>
      <c r="H150" s="26" t="str">
        <f>VLOOKUP(D150,'Form Responses 1'!B:J,7,FALSE)</f>
        <v>DB-1S</v>
      </c>
      <c r="I150" s="26" t="str">
        <f>VLOOKUP(D150,'Form Responses 1'!B:J,8,FALSE)</f>
        <v>DB24128068</v>
      </c>
      <c r="J150" s="26" t="str">
        <f>VLOOKUP(D150,'Form Responses 1'!B:J,9,FALSE)</f>
        <v>80 kg / 0,001 kg</v>
      </c>
      <c r="K150" s="23">
        <v>46062</v>
      </c>
      <c r="L150" s="30" t="s">
        <v>1326</v>
      </c>
      <c r="M150" s="28" t="b">
        <v>1</v>
      </c>
    </row>
    <row r="151" spans="1:13" ht="38.25">
      <c r="A151" s="29">
        <v>68</v>
      </c>
      <c r="B151" s="29" t="s">
        <v>1395</v>
      </c>
      <c r="C151" s="23">
        <v>46062</v>
      </c>
      <c r="D151" s="31" t="s">
        <v>571</v>
      </c>
      <c r="E151" s="25" t="str">
        <f>VLOOKUP(D151,'Form Responses 1'!B:J,2,FALSE)</f>
        <v>Jl. Raya Gombong Barat km 3 Purbowangi, Kecamatan Buayan, Kabupaten Kebumen</v>
      </c>
      <c r="F151" s="26" t="str">
        <f>VLOOKUP(D151,'Form Responses 1'!B:J,5,FALSE)</f>
        <v>Timbangan Elektronik</v>
      </c>
      <c r="G151" s="26" t="str">
        <f>VLOOKUP(D151,'Form Responses 1'!B:J,6,FALSE)</f>
        <v>Digitech</v>
      </c>
      <c r="H151" s="26" t="str">
        <f>VLOOKUP(D151,'Form Responses 1'!B:J,7,FALSE)</f>
        <v>DB-1S</v>
      </c>
      <c r="I151" s="26" t="str">
        <f>VLOOKUP(D151,'Form Responses 1'!B:J,8,FALSE)</f>
        <v>DB24128046</v>
      </c>
      <c r="J151" s="26" t="str">
        <f>VLOOKUP(D151,'Form Responses 1'!B:J,9,FALSE)</f>
        <v>80 kg / 0,001 kg</v>
      </c>
      <c r="K151" s="23">
        <v>46062</v>
      </c>
      <c r="L151" s="30" t="s">
        <v>1326</v>
      </c>
      <c r="M151" s="28" t="b">
        <v>1</v>
      </c>
    </row>
    <row r="152" spans="1:13" ht="25.5">
      <c r="A152" s="29">
        <v>69</v>
      </c>
      <c r="B152" s="29" t="s">
        <v>1396</v>
      </c>
      <c r="C152" s="23">
        <v>46064</v>
      </c>
      <c r="D152" s="33" t="s">
        <v>573</v>
      </c>
      <c r="E152" s="25" t="str">
        <f>VLOOKUP(D152,'Form Responses 1'!B:J,2,FALSE)</f>
        <v>Desa Logending, Kecamatan Ayah, Kabupaten Kebumen</v>
      </c>
      <c r="F152" s="26" t="str">
        <f>VLOOKUP(D152,'Form Responses 1'!B:J,5,FALSE)</f>
        <v>PU BBM</v>
      </c>
      <c r="G152" s="26" t="str">
        <f>VLOOKUP(D152,'Form Responses 1'!B:J,6,FALSE)</f>
        <v>TATSUNO</v>
      </c>
      <c r="H152" s="26" t="str">
        <f>VLOOKUP(D152,'Form Responses 1'!B:J,7,FALSE)</f>
        <v>PSA 22221</v>
      </c>
      <c r="I152" s="26" t="str">
        <f>VLOOKUP(D152,'Form Responses 1'!B:J,8,FALSE)</f>
        <v>EX-E-19100618</v>
      </c>
      <c r="J152" s="26" t="str">
        <f>VLOOKUP(D152,'Form Responses 1'!B:J,9,FALSE)</f>
        <v>60 L/min</v>
      </c>
      <c r="K152" s="23">
        <v>46063</v>
      </c>
      <c r="L152" s="30" t="s">
        <v>1330</v>
      </c>
      <c r="M152" s="28" t="b">
        <v>1</v>
      </c>
    </row>
    <row r="153" spans="1:13" ht="25.5">
      <c r="A153" s="29">
        <v>70</v>
      </c>
      <c r="B153" s="29" t="s">
        <v>1397</v>
      </c>
      <c r="C153" s="23">
        <v>46064</v>
      </c>
      <c r="D153" s="31" t="s">
        <v>577</v>
      </c>
      <c r="E153" s="25" t="str">
        <f>VLOOKUP(D153,'Form Responses 1'!B:J,2,FALSE)</f>
        <v>Desa Ayah, Kecamatan Ayah, Kabupaten Kebumen</v>
      </c>
      <c r="F153" s="26" t="str">
        <f>VLOOKUP(D153,'Form Responses 1'!B:J,5,FALSE)</f>
        <v>PU BBM</v>
      </c>
      <c r="G153" s="26" t="str">
        <f>VLOOKUP(D153,'Form Responses 1'!B:J,6,FALSE)</f>
        <v>TATSUNO</v>
      </c>
      <c r="H153" s="26" t="str">
        <f>VLOOKUP(D153,'Form Responses 1'!B:J,7,FALSE)</f>
        <v>GSA 220210JMBDT000000-E</v>
      </c>
      <c r="I153" s="26" t="str">
        <f>VLOOKUP(D153,'Form Responses 1'!B:J,8,FALSE)</f>
        <v>AA 114128 2002-12</v>
      </c>
      <c r="J153" s="26" t="str">
        <f>VLOOKUP(D153,'Form Responses 1'!B:J,9,FALSE)</f>
        <v>60 L/min</v>
      </c>
      <c r="K153" s="23">
        <v>46063</v>
      </c>
      <c r="L153" s="30" t="s">
        <v>1330</v>
      </c>
      <c r="M153" s="28" t="b">
        <v>1</v>
      </c>
    </row>
    <row r="154" spans="1:13" ht="25.5">
      <c r="D154" s="32" t="s">
        <v>581</v>
      </c>
      <c r="E154" s="25" t="str">
        <f>VLOOKUP(D154,'Form Responses 1'!B:J,2,FALSE)</f>
        <v>Desa Ayah, Kecamatan Ayah, Kabupaten Kebumen</v>
      </c>
      <c r="F154" s="26" t="str">
        <f>VLOOKUP(D154,'Form Responses 1'!B:J,5,FALSE)</f>
        <v>PU BBM</v>
      </c>
      <c r="G154" s="26" t="str">
        <f>VLOOKUP(D154,'Form Responses 1'!B:J,6,FALSE)</f>
        <v>TATSUNO</v>
      </c>
      <c r="H154" s="26" t="str">
        <f>VLOOKUP(D154,'Form Responses 1'!B:J,7,FALSE)</f>
        <v>GSA 220210JMBDT000000-E</v>
      </c>
      <c r="I154" s="26" t="str">
        <f>VLOOKUP(D154,'Form Responses 1'!B:J,8,FALSE)</f>
        <v>AA 114134 2002-12</v>
      </c>
      <c r="J154" s="26" t="str">
        <f>VLOOKUP(D154,'Form Responses 1'!B:J,9,FALSE)</f>
        <v>60 L/min</v>
      </c>
      <c r="L154" s="26"/>
      <c r="M154" s="28" t="b">
        <v>1</v>
      </c>
    </row>
    <row r="155" spans="1:13" ht="25.5">
      <c r="A155" s="29">
        <v>71</v>
      </c>
      <c r="B155" s="29" t="s">
        <v>1398</v>
      </c>
      <c r="C155" s="23">
        <v>46064</v>
      </c>
      <c r="D155" s="35" t="s">
        <v>563</v>
      </c>
      <c r="E155" s="25" t="str">
        <f>VLOOKUP(D155,'Form Responses 1'!B:J,2,FALSE)</f>
        <v>Jl Tentara Pelajar No 51 Kebumen</v>
      </c>
      <c r="F155" s="26" t="str">
        <f>VLOOKUP(D155,'Form Responses 1'!B:J,5,FALSE)</f>
        <v>Timbangan Sentisimal</v>
      </c>
      <c r="G155" s="26" t="str">
        <f>VLOOKUP(D155,'Form Responses 1'!B:J,6,FALSE)</f>
        <v>Karya Sentosa</v>
      </c>
      <c r="H155" s="26" t="str">
        <f>VLOOKUP(D155,'Form Responses 1'!B:J,7,FALSE)</f>
        <v>-</v>
      </c>
      <c r="I155" s="26">
        <f>VLOOKUP(D155,'Form Responses 1'!B:J,8,FALSE)</f>
        <v>200301</v>
      </c>
      <c r="J155" s="26" t="str">
        <f>VLOOKUP(D155,'Form Responses 1'!B:J,9,FALSE)</f>
        <v>150 kg / 100 g</v>
      </c>
      <c r="K155" s="23">
        <v>46063</v>
      </c>
      <c r="L155" s="30" t="s">
        <v>1322</v>
      </c>
      <c r="M155" s="28" t="b">
        <v>1</v>
      </c>
    </row>
    <row r="156" spans="1:13" ht="38.25">
      <c r="A156" s="29">
        <v>72</v>
      </c>
      <c r="B156" s="29" t="s">
        <v>1399</v>
      </c>
      <c r="C156" s="23">
        <v>46064</v>
      </c>
      <c r="D156" s="32" t="s">
        <v>583</v>
      </c>
      <c r="E156" s="25" t="str">
        <f>VLOOKUP(D156,'Form Responses 1'!B:J,2,FALSE)</f>
        <v xml:space="preserve">Jl. Raya Sruweng km 7, Desa Sruweng, Kecamatan Sruweng, Kabupaten Kebumen </v>
      </c>
      <c r="F156" s="26" t="str">
        <f>VLOOKUP(D156,'Form Responses 1'!B:J,5,FALSE)</f>
        <v>PU BBM</v>
      </c>
      <c r="G156" s="26" t="str">
        <f>VLOOKUP(D156,'Form Responses 1'!B:J,6,FALSE)</f>
        <v xml:space="preserve">TATSUNO </v>
      </c>
      <c r="H156" s="26" t="str">
        <f>VLOOKUP(D156,'Form Responses 1'!B:J,7,FALSE)</f>
        <v xml:space="preserve">SSB 3664 </v>
      </c>
      <c r="I156" s="26" t="str">
        <f>VLOOKUP(D156,'Form Responses 1'!B:J,8,FALSE)</f>
        <v>AA 256762 2016-7</v>
      </c>
      <c r="J156" s="26" t="str">
        <f>VLOOKUP(D156,'Form Responses 1'!B:J,9,FALSE)</f>
        <v>65 L/Min</v>
      </c>
      <c r="K156" s="23">
        <v>46064</v>
      </c>
      <c r="L156" s="30" t="s">
        <v>1340</v>
      </c>
      <c r="M156" s="28" t="b">
        <v>1</v>
      </c>
    </row>
    <row r="157" spans="1:13" ht="38.25">
      <c r="D157" s="31" t="s">
        <v>588</v>
      </c>
      <c r="E157" s="25" t="str">
        <f>VLOOKUP(D157,'Form Responses 1'!B:J,2,FALSE)</f>
        <v xml:space="preserve">Jl. Raya Sruweng km 7, Desa Sruweng, Kecamatan Sruweng, Kabupaten Kebumen </v>
      </c>
      <c r="F157" s="26" t="str">
        <f>VLOOKUP(D157,'Form Responses 1'!B:J,5,FALSE)</f>
        <v>PU BBM</v>
      </c>
      <c r="G157" s="26" t="str">
        <f>VLOOKUP(D157,'Form Responses 1'!B:J,6,FALSE)</f>
        <v xml:space="preserve">TATSUNO </v>
      </c>
      <c r="H157" s="26" t="str">
        <f>VLOOKUP(D157,'Form Responses 1'!B:J,7,FALSE)</f>
        <v>SSB 3662</v>
      </c>
      <c r="I157" s="26" t="str">
        <f>VLOOKUP(D157,'Form Responses 1'!B:J,8,FALSE)</f>
        <v>AA 256673</v>
      </c>
      <c r="J157" s="26" t="str">
        <f>VLOOKUP(D157,'Form Responses 1'!B:J,9,FALSE)</f>
        <v>60 L/Min</v>
      </c>
      <c r="L157" s="26"/>
      <c r="M157" s="28" t="b">
        <v>1</v>
      </c>
    </row>
    <row r="158" spans="1:13" ht="38.25">
      <c r="D158" s="32" t="s">
        <v>590</v>
      </c>
      <c r="E158" s="25" t="str">
        <f>VLOOKUP(D158,'Form Responses 1'!B:J,2,FALSE)</f>
        <v xml:space="preserve">Jl. Raya Sruweng km 7, Desa Sruweng, Kecamatan Sruweng, Kabupaten Kebumen </v>
      </c>
      <c r="F158" s="26" t="str">
        <f>VLOOKUP(D158,'Form Responses 1'!B:J,5,FALSE)</f>
        <v>PU BBM</v>
      </c>
      <c r="G158" s="26" t="str">
        <f>VLOOKUP(D158,'Form Responses 1'!B:J,6,FALSE)</f>
        <v xml:space="preserve">TATSUNO </v>
      </c>
      <c r="H158" s="26" t="str">
        <f>VLOOKUP(D158,'Form Responses 1'!B:J,7,FALSE)</f>
        <v>SSB 3662</v>
      </c>
      <c r="I158" s="26" t="str">
        <f>VLOOKUP(D158,'Form Responses 1'!B:J,8,FALSE)</f>
        <v>AA 256674 2016-7</v>
      </c>
      <c r="J158" s="26" t="str">
        <f>VLOOKUP(D158,'Form Responses 1'!B:J,9,FALSE)</f>
        <v>60 L/Min</v>
      </c>
      <c r="L158" s="26"/>
      <c r="M158" s="28" t="b">
        <v>1</v>
      </c>
    </row>
    <row r="159" spans="1:13" ht="38.25">
      <c r="D159" s="31" t="s">
        <v>592</v>
      </c>
      <c r="E159" s="25" t="str">
        <f>VLOOKUP(D159,'Form Responses 1'!B:J,2,FALSE)</f>
        <v xml:space="preserve">Jl. Raya Sruweng km 7, Desa Sruweng, Kecamatan Sruweng, Kabupaten Kebumen </v>
      </c>
      <c r="F159" s="26" t="str">
        <f>VLOOKUP(D159,'Form Responses 1'!B:J,5,FALSE)</f>
        <v>PU BBM</v>
      </c>
      <c r="G159" s="26" t="str">
        <f>VLOOKUP(D159,'Form Responses 1'!B:J,6,FALSE)</f>
        <v xml:space="preserve">TATSUNO </v>
      </c>
      <c r="H159" s="26" t="str">
        <f>VLOOKUP(D159,'Form Responses 1'!B:J,7,FALSE)</f>
        <v>SSB 2444</v>
      </c>
      <c r="I159" s="26" t="str">
        <f>VLOOKUP(D159,'Form Responses 1'!B:J,8,FALSE)</f>
        <v>AA 256749 2016-7</v>
      </c>
      <c r="J159" s="26" t="str">
        <f>VLOOKUP(D159,'Form Responses 1'!B:J,9,FALSE)</f>
        <v>65 L/Min</v>
      </c>
      <c r="L159" s="26"/>
      <c r="M159" s="28" t="b">
        <v>1</v>
      </c>
    </row>
    <row r="160" spans="1:13" ht="38.25">
      <c r="D160" s="32" t="s">
        <v>594</v>
      </c>
      <c r="E160" s="25" t="str">
        <f>VLOOKUP(D160,'Form Responses 1'!B:J,2,FALSE)</f>
        <v xml:space="preserve">Jl. Raya Sruweng km 7, Desa Sruweng, Kecamatan Sruweng, Kabupaten Kebumen </v>
      </c>
      <c r="F160" s="26" t="str">
        <f>VLOOKUP(D160,'Form Responses 1'!B:J,5,FALSE)</f>
        <v>PU BBM</v>
      </c>
      <c r="G160" s="26" t="str">
        <f>VLOOKUP(D160,'Form Responses 1'!B:J,6,FALSE)</f>
        <v xml:space="preserve">TATSUNO </v>
      </c>
      <c r="H160" s="26" t="str">
        <f>VLOOKUP(D160,'Form Responses 1'!B:J,7,FALSE)</f>
        <v>SSB 2442</v>
      </c>
      <c r="I160" s="26" t="str">
        <f>VLOOKUP(D160,'Form Responses 1'!B:J,8,FALSE)</f>
        <v>AA 256623 2016-7</v>
      </c>
      <c r="J160" s="26" t="str">
        <f>VLOOKUP(D160,'Form Responses 1'!B:J,9,FALSE)</f>
        <v>60L/min</v>
      </c>
      <c r="L160" s="26"/>
      <c r="M160" s="28" t="b">
        <v>1</v>
      </c>
    </row>
    <row r="161" spans="1:13" ht="38.25">
      <c r="A161" s="29">
        <v>73</v>
      </c>
      <c r="B161" s="29" t="s">
        <v>1400</v>
      </c>
      <c r="C161" s="23">
        <v>46065</v>
      </c>
      <c r="D161" s="31" t="s">
        <v>597</v>
      </c>
      <c r="E161" s="38" t="str">
        <f>VLOOKUP(D161,'Form Responses 1'!B:J,2,FALSE)</f>
        <v>Jl. Raya Sokka No. 117, Desa Kedawung, Kecamatan Pejagoan, Kabupaten Kebumen</v>
      </c>
      <c r="F161" s="38" t="str">
        <f>VLOOKUP(D161,'Form Responses 1'!B:J,5,FALSE)</f>
        <v>PU BBM</v>
      </c>
      <c r="G161" s="38" t="str">
        <f>VLOOKUP(D161,'Form Responses 1'!B:J,6,FALSE)</f>
        <v xml:space="preserve">TATSUNO </v>
      </c>
      <c r="H161" s="38" t="str">
        <f>VLOOKUP(D161,'Form Responses 1'!B:J,7,FALSE)</f>
        <v>SSB 2442</v>
      </c>
      <c r="I161" s="38" t="str">
        <f>VLOOKUP(D161,'Form Responses 1'!B:J,8,FALSE)</f>
        <v>AA 325468 2023-4</v>
      </c>
      <c r="J161" s="38" t="str">
        <f>VLOOKUP(D161,'Form Responses 1'!B:J,9,FALSE)</f>
        <v>65 L/min</v>
      </c>
      <c r="L161" s="30" t="s">
        <v>1340</v>
      </c>
      <c r="M161" s="28" t="b">
        <v>1</v>
      </c>
    </row>
    <row r="162" spans="1:13" ht="38.25">
      <c r="D162" s="32" t="s">
        <v>600</v>
      </c>
      <c r="E162" s="38" t="str">
        <f>VLOOKUP(D162,'Form Responses 1'!B:J,2,FALSE)</f>
        <v>Jl. Raya Sokka No. 117, Desa Kedawung, Kecamatan Pejagoan, Kabupaten Kebumen</v>
      </c>
      <c r="F162" s="38" t="str">
        <f>VLOOKUP(D162,'Form Responses 1'!B:J,5,FALSE)</f>
        <v>PU BBM</v>
      </c>
      <c r="G162" s="38" t="str">
        <f>VLOOKUP(D162,'Form Responses 1'!B:J,6,FALSE)</f>
        <v xml:space="preserve">TATSUNO </v>
      </c>
      <c r="H162" s="38" t="str">
        <f>VLOOKUP(D162,'Form Responses 1'!B:J,7,FALSE)</f>
        <v>SSB 2442</v>
      </c>
      <c r="I162" s="38" t="str">
        <f>VLOOKUP(D162,'Form Responses 1'!B:J,8,FALSE)</f>
        <v>AA 323351 2023-1</v>
      </c>
      <c r="J162" s="38" t="str">
        <f>VLOOKUP(D162,'Form Responses 1'!B:J,9,FALSE)</f>
        <v>65 L/min</v>
      </c>
      <c r="L162" s="26"/>
      <c r="M162" s="28" t="b">
        <v>1</v>
      </c>
    </row>
    <row r="163" spans="1:13" ht="38.25">
      <c r="D163" s="31" t="s">
        <v>603</v>
      </c>
      <c r="E163" s="38" t="str">
        <f>VLOOKUP(D163,'Form Responses 1'!B:J,2,FALSE)</f>
        <v>Jl. Raya Sokka No. 117, Desa Kedawung, Kecamatan Pejagoan, Kabupaten Kebumen</v>
      </c>
      <c r="F163" s="38" t="str">
        <f>VLOOKUP(D163,'Form Responses 1'!B:J,5,FALSE)</f>
        <v>PU BBM</v>
      </c>
      <c r="G163" s="38" t="str">
        <f>VLOOKUP(D163,'Form Responses 1'!B:J,6,FALSE)</f>
        <v xml:space="preserve">TATSUNO </v>
      </c>
      <c r="H163" s="38" t="str">
        <f>VLOOKUP(D163,'Form Responses 1'!B:J,7,FALSE)</f>
        <v>SSB 2442</v>
      </c>
      <c r="I163" s="38" t="str">
        <f>VLOOKUP(D163,'Form Responses 1'!B:J,8,FALSE)</f>
        <v>AA 325466 2023-4</v>
      </c>
      <c r="J163" s="38" t="str">
        <f>VLOOKUP(D163,'Form Responses 1'!B:J,9,FALSE)</f>
        <v>65 L/min</v>
      </c>
      <c r="L163" s="26"/>
      <c r="M163" s="28" t="b">
        <v>1</v>
      </c>
    </row>
    <row r="164" spans="1:13" ht="38.25">
      <c r="D164" s="32" t="s">
        <v>603</v>
      </c>
      <c r="E164" s="38" t="str">
        <f>VLOOKUP(D164,'Form Responses 1'!B:J,2,FALSE)</f>
        <v>Jl. Raya Sokka No. 117, Desa Kedawung, Kecamatan Pejagoan, Kabupaten Kebumen</v>
      </c>
      <c r="F164" s="38" t="str">
        <f>VLOOKUP(D164,'Form Responses 1'!B:J,5,FALSE)</f>
        <v>PU BBM</v>
      </c>
      <c r="G164" s="38" t="str">
        <f>VLOOKUP(D164,'Form Responses 1'!B:J,6,FALSE)</f>
        <v xml:space="preserve">TATSUNO </v>
      </c>
      <c r="H164" s="38" t="str">
        <f>VLOOKUP(D164,'Form Responses 1'!B:J,7,FALSE)</f>
        <v>SSB 2442</v>
      </c>
      <c r="I164" s="38" t="str">
        <f>VLOOKUP(D164,'Form Responses 1'!B:J,8,FALSE)</f>
        <v>AA 325466 2023-4</v>
      </c>
      <c r="J164" s="38" t="str">
        <f>VLOOKUP(D164,'Form Responses 1'!B:J,9,FALSE)</f>
        <v>65 L/min</v>
      </c>
      <c r="L164" s="26"/>
      <c r="M164" s="28" t="b">
        <v>1</v>
      </c>
    </row>
    <row r="165" spans="1:13" ht="25.5">
      <c r="A165" s="29">
        <v>74</v>
      </c>
      <c r="B165" s="29" t="s">
        <v>1401</v>
      </c>
      <c r="C165" s="23">
        <v>46072</v>
      </c>
      <c r="D165" s="31" t="s">
        <v>606</v>
      </c>
      <c r="E165" s="38" t="str">
        <f>VLOOKUP(D165,'Form Responses 1'!B:J,2,FALSE)</f>
        <v>Jl. Raya Gombong barat km. 3 purbowangi kebumen</v>
      </c>
      <c r="F165" s="38" t="str">
        <f>VLOOKUP(D165,'Form Responses 1'!B:J,5,FALSE)</f>
        <v>Timbangan Elektronik</v>
      </c>
      <c r="G165" s="38" t="str">
        <f>VLOOKUP(D165,'Form Responses 1'!B:J,6,FALSE)</f>
        <v>Digitech</v>
      </c>
      <c r="H165" s="38" t="str">
        <f>VLOOKUP(D165,'Form Responses 1'!B:J,7,FALSE)</f>
        <v>DB-1S-150</v>
      </c>
      <c r="I165" s="38" t="str">
        <f>VLOOKUP(D165,'Form Responses 1'!B:J,8,FALSE)</f>
        <v>DB25098156</v>
      </c>
      <c r="J165" s="38" t="str">
        <f>VLOOKUP(D165,'Form Responses 1'!B:J,9,FALSE)</f>
        <v>60 kg / 0,001 g</v>
      </c>
      <c r="K165" s="23">
        <v>46065</v>
      </c>
      <c r="L165" s="30" t="s">
        <v>1326</v>
      </c>
      <c r="M165" s="28" t="b">
        <v>1</v>
      </c>
    </row>
    <row r="166" spans="1:13" ht="25.5">
      <c r="A166" s="29">
        <v>75</v>
      </c>
      <c r="B166" s="29" t="s">
        <v>1402</v>
      </c>
      <c r="C166" s="23">
        <v>46072</v>
      </c>
      <c r="D166" s="32" t="s">
        <v>610</v>
      </c>
      <c r="E166" s="38" t="str">
        <f>VLOOKUP(D166,'Form Responses 1'!B:J,2,FALSE)</f>
        <v>Jl. Raya Gombong barat km. 3 purbowangi kebumen</v>
      </c>
      <c r="F166" s="38" t="str">
        <f>VLOOKUP(D166,'Form Responses 1'!B:J,5,FALSE)</f>
        <v>Timbangan Elektronik</v>
      </c>
      <c r="G166" s="38" t="str">
        <f>VLOOKUP(D166,'Form Responses 1'!B:J,6,FALSE)</f>
        <v>Digitech</v>
      </c>
      <c r="H166" s="38" t="str">
        <f>VLOOKUP(D166,'Form Responses 1'!B:J,7,FALSE)</f>
        <v>DB-1S-150</v>
      </c>
      <c r="I166" s="38" t="str">
        <f>VLOOKUP(D166,'Form Responses 1'!B:J,8,FALSE)</f>
        <v>DB25098152</v>
      </c>
      <c r="J166" s="38" t="str">
        <f>VLOOKUP(D166,'Form Responses 1'!B:J,9,FALSE)</f>
        <v>60 kg / 0,001 kg</v>
      </c>
      <c r="K166" s="23">
        <v>46065</v>
      </c>
      <c r="L166" s="30" t="s">
        <v>1326</v>
      </c>
      <c r="M166" s="28" t="b">
        <v>1</v>
      </c>
    </row>
    <row r="167" spans="1:13" ht="25.5">
      <c r="A167" s="29">
        <v>76</v>
      </c>
      <c r="B167" s="29" t="s">
        <v>1403</v>
      </c>
      <c r="C167" s="23">
        <v>46072</v>
      </c>
      <c r="D167" s="31" t="s">
        <v>614</v>
      </c>
      <c r="E167" s="38" t="str">
        <f>VLOOKUP(D167,'Form Responses 1'!B:J,2,FALSE)</f>
        <v>Bojongsari RT 02 RW01 Kec. Alian, Kab. Kebumen</v>
      </c>
      <c r="F167" s="38" t="str">
        <f>VLOOKUP(D167,'Form Responses 1'!B:J,5,FALSE)</f>
        <v>Neraca Obat</v>
      </c>
      <c r="G167" s="38" t="str">
        <f>VLOOKUP(D167,'Form Responses 1'!B:J,6,FALSE)</f>
        <v>APM</v>
      </c>
      <c r="H167" s="38" t="str">
        <f>VLOOKUP(D167,'Form Responses 1'!B:J,7,FALSE)</f>
        <v>-</v>
      </c>
      <c r="I167" s="38">
        <f>VLOOKUP(D167,'Form Responses 1'!B:J,8,FALSE)</f>
        <v>220157</v>
      </c>
      <c r="J167" s="38" t="str">
        <f>VLOOKUP(D167,'Form Responses 1'!B:J,9,FALSE)</f>
        <v>500 g / 250 mg</v>
      </c>
      <c r="K167" s="23">
        <v>46071</v>
      </c>
      <c r="L167" s="30" t="s">
        <v>1326</v>
      </c>
      <c r="M167" s="28" t="b">
        <v>1</v>
      </c>
    </row>
    <row r="168" spans="1:13" ht="25.5">
      <c r="A168" s="29">
        <v>77</v>
      </c>
      <c r="B168" s="29" t="s">
        <v>1404</v>
      </c>
      <c r="C168" s="23">
        <v>46072</v>
      </c>
      <c r="D168" s="32" t="s">
        <v>619</v>
      </c>
      <c r="E168" s="38" t="str">
        <f>VLOOKUP(D168,'Form Responses 1'!B:J,2,FALSE)</f>
        <v>Bojongsari RT03 RW01 Kec. Alian, Kab. Kebumen</v>
      </c>
      <c r="F168" s="38" t="str">
        <f>VLOOKUP(D168,'Form Responses 1'!B:J,5,FALSE)</f>
        <v>Neraca Obat</v>
      </c>
      <c r="G168" s="38" t="str">
        <f>VLOOKUP(D168,'Form Responses 1'!B:J,6,FALSE)</f>
        <v>SNS</v>
      </c>
      <c r="H168" s="38" t="str">
        <f>VLOOKUP(D168,'Form Responses 1'!B:J,7,FALSE)</f>
        <v>-</v>
      </c>
      <c r="I168" s="38">
        <f>VLOOKUP(D168,'Form Responses 1'!B:J,8,FALSE)</f>
        <v>22180</v>
      </c>
      <c r="J168" s="38" t="str">
        <f>VLOOKUP(D168,'Form Responses 1'!B:J,9,FALSE)</f>
        <v>50 g / 25 mg</v>
      </c>
      <c r="K168" s="23">
        <v>46071</v>
      </c>
      <c r="L168" s="30" t="s">
        <v>1326</v>
      </c>
      <c r="M168" s="28" t="b">
        <v>1</v>
      </c>
    </row>
    <row r="169" spans="1:13" ht="38.25">
      <c r="A169" s="29">
        <v>78</v>
      </c>
      <c r="B169" s="29" t="s">
        <v>1405</v>
      </c>
      <c r="C169" s="23">
        <v>46076</v>
      </c>
      <c r="D169" s="35" t="s">
        <v>630</v>
      </c>
      <c r="E169" s="38" t="str">
        <f>VLOOKUP(D169,'Form Responses 1'!B:J,2,FALSE)</f>
        <v>Jl. Kejayan RT 01 RW 02 Dsesa Bocor, Kecamatan Buluspesantren, Kabupaten Kebumen</v>
      </c>
      <c r="F169" s="38" t="str">
        <f>VLOOKUP(D169,'Form Responses 1'!B:J,5,FALSE)</f>
        <v>Timbangan Elektronik</v>
      </c>
      <c r="G169" s="38" t="str">
        <f>VLOOKUP(D169,'Form Responses 1'!B:J,6,FALSE)</f>
        <v>Quattro</v>
      </c>
      <c r="H169" s="38" t="str">
        <f>VLOOKUP(D169,'Form Responses 1'!B:J,7,FALSE)</f>
        <v>FEJ-1000B</v>
      </c>
      <c r="I169" s="38">
        <f>VLOOKUP(D169,'Form Responses 1'!B:J,8,FALSE)</f>
        <v>3711800116040240</v>
      </c>
      <c r="J169" s="38" t="str">
        <f>VLOOKUP(D169,'Form Responses 1'!B:J,9,FALSE)</f>
        <v>1000 g / 0.2 g</v>
      </c>
      <c r="K169" s="23">
        <v>46073</v>
      </c>
      <c r="L169" s="30" t="s">
        <v>1324</v>
      </c>
      <c r="M169" s="28" t="b">
        <v>1</v>
      </c>
    </row>
    <row r="170" spans="1:13" ht="38.25">
      <c r="A170" s="29">
        <v>79</v>
      </c>
      <c r="B170" s="29" t="s">
        <v>1406</v>
      </c>
      <c r="C170" s="23">
        <v>46076</v>
      </c>
      <c r="D170" s="32" t="s">
        <v>625</v>
      </c>
      <c r="E170" s="38" t="str">
        <f>VLOOKUP(D170,'Form Responses 1'!B:J,2,FALSE)</f>
        <v>Dukuh Duwet RT 02 RW 06 Desa Kuwayuhan, Kecamatan Pejagoan, Kabupaten Kebumen</v>
      </c>
      <c r="F170" s="38" t="str">
        <f>VLOOKUP(D170,'Form Responses 1'!B:J,5,FALSE)</f>
        <v>Timbangan Elektronik</v>
      </c>
      <c r="G170" s="38" t="str">
        <f>VLOOKUP(D170,'Form Responses 1'!B:J,6,FALSE)</f>
        <v>Great Scale</v>
      </c>
      <c r="H170" s="38" t="str">
        <f>VLOOKUP(D170,'Form Responses 1'!B:J,7,FALSE)</f>
        <v>XK-3190A7</v>
      </c>
      <c r="I170" s="38" t="str">
        <f>VLOOKUP(D170,'Form Responses 1'!B:J,8,FALSE)</f>
        <v>A71402001</v>
      </c>
      <c r="J170" s="38" t="str">
        <f>VLOOKUP(D170,'Form Responses 1'!B:J,9,FALSE)</f>
        <v>2000 kg / 2 kg</v>
      </c>
      <c r="K170" s="23">
        <v>46073</v>
      </c>
      <c r="L170" s="30" t="s">
        <v>1326</v>
      </c>
      <c r="M170" s="28" t="b">
        <v>1</v>
      </c>
    </row>
    <row r="171" spans="1:13" ht="38.25">
      <c r="A171" s="29">
        <v>80</v>
      </c>
      <c r="B171" s="29" t="s">
        <v>1407</v>
      </c>
      <c r="C171" s="23">
        <v>46076</v>
      </c>
      <c r="D171" s="31" t="s">
        <v>622</v>
      </c>
      <c r="E171" s="38" t="str">
        <f>VLOOKUP(D171,'Form Responses 1'!B:J,2,FALSE)</f>
        <v>Jl. Raya wangon lumbir km 5 Desa Adilingga kec Wangon Kecamatan Banyumas</v>
      </c>
      <c r="F171" s="38" t="str">
        <f>VLOOKUP(D171,'Form Responses 1'!B:J,5,FALSE)</f>
        <v>Timbangan Sentisimal</v>
      </c>
      <c r="G171" s="38" t="str">
        <f>VLOOKUP(D171,'Form Responses 1'!B:J,6,FALSE)</f>
        <v>Karya Santosa</v>
      </c>
      <c r="H171" s="38" t="str">
        <f>VLOOKUP(D171,'Form Responses 1'!B:J,7,FALSE)</f>
        <v>-</v>
      </c>
      <c r="I171" s="38">
        <f>VLOOKUP(D171,'Form Responses 1'!B:J,8,FALSE)</f>
        <v>200293</v>
      </c>
      <c r="J171" s="38" t="str">
        <f>VLOOKUP(D171,'Form Responses 1'!B:J,9,FALSE)</f>
        <v>150 kg / 100 g</v>
      </c>
      <c r="K171" s="23">
        <v>46073</v>
      </c>
      <c r="L171" s="30" t="s">
        <v>1322</v>
      </c>
      <c r="M171" s="28" t="b">
        <v>1</v>
      </c>
    </row>
    <row r="172" spans="1:13" ht="38.25">
      <c r="A172" s="29">
        <v>81</v>
      </c>
      <c r="B172" s="29" t="s">
        <v>1408</v>
      </c>
      <c r="C172" s="23">
        <v>46077</v>
      </c>
      <c r="D172" s="32" t="s">
        <v>637</v>
      </c>
      <c r="E172" s="38" t="str">
        <f>VLOOKUP(D172,'Form Responses 1'!B:J,2,FALSE)</f>
        <v xml:space="preserve">Jl. Deandels km 2,  Desa Ampelsari, Kecamatan Petanahan, Kabupaten Kebumen </v>
      </c>
      <c r="F172" s="38" t="str">
        <f>VLOOKUP(D172,'Form Responses 1'!B:J,5,FALSE)</f>
        <v>PU BBM</v>
      </c>
      <c r="G172" s="38" t="str">
        <f>VLOOKUP(D172,'Form Responses 1'!B:J,6,FALSE)</f>
        <v>SANKI</v>
      </c>
      <c r="H172" s="38" t="str">
        <f>VLOOKUP(D172,'Form Responses 1'!B:J,7,FALSE)</f>
        <v>10ZF111A</v>
      </c>
      <c r="I172" s="38" t="str">
        <f>VLOOKUP(D172,'Form Responses 1'!B:J,8,FALSE)</f>
        <v>1110AW216157</v>
      </c>
      <c r="J172" s="38" t="str">
        <f>VLOOKUP(D172,'Form Responses 1'!B:J,9,FALSE)</f>
        <v>50 L/min</v>
      </c>
      <c r="K172" s="23">
        <v>46077</v>
      </c>
      <c r="L172" s="30" t="s">
        <v>1340</v>
      </c>
      <c r="M172" s="28" t="b">
        <v>1</v>
      </c>
    </row>
    <row r="173" spans="1:13" ht="25.5">
      <c r="A173" s="29">
        <v>82</v>
      </c>
      <c r="B173" s="29" t="s">
        <v>1409</v>
      </c>
      <c r="C173" s="23">
        <v>46077</v>
      </c>
      <c r="D173" s="31" t="s">
        <v>640</v>
      </c>
      <c r="E173" s="38" t="str">
        <f>VLOOKUP(D173,'Form Responses 1'!B:J,2,FALSE)</f>
        <v>Desa Tambakprogaten, Kecamatan Klirong, Kabupaten Kebumen</v>
      </c>
      <c r="F173" s="38" t="str">
        <f>VLOOKUP(D173,'Form Responses 1'!B:J,5,FALSE)</f>
        <v>PU BBM</v>
      </c>
      <c r="G173" s="38" t="str">
        <f>VLOOKUP(D173,'Form Responses 1'!B:J,6,FALSE)</f>
        <v>Eaglester</v>
      </c>
      <c r="H173" s="38" t="str">
        <f>VLOOKUP(D173,'Form Responses 1'!B:J,7,FALSE)</f>
        <v>X1-111V</v>
      </c>
      <c r="I173" s="38">
        <f>VLOOKUP(D173,'Form Responses 1'!B:J,8,FALSE)</f>
        <v>1010210550</v>
      </c>
      <c r="J173" s="38" t="str">
        <f>VLOOKUP(D173,'Form Responses 1'!B:J,9,FALSE)</f>
        <v>50 L/min</v>
      </c>
      <c r="K173" s="23">
        <v>46077</v>
      </c>
      <c r="L173" s="30" t="s">
        <v>1340</v>
      </c>
      <c r="M173" s="28" t="b">
        <v>1</v>
      </c>
    </row>
    <row r="174" spans="1:13" ht="25.5">
      <c r="A174" s="29">
        <v>83</v>
      </c>
      <c r="B174" s="29" t="s">
        <v>1410</v>
      </c>
      <c r="C174" s="23">
        <v>46077</v>
      </c>
      <c r="D174" s="32" t="s">
        <v>644</v>
      </c>
      <c r="E174" s="38" t="str">
        <f>VLOOKUP(D174,'Form Responses 1'!B:J,2,FALSE)</f>
        <v>Desa Jerukagung, Kecamatan Klirong, Kabupaten Kebumen</v>
      </c>
      <c r="F174" s="38" t="str">
        <f>VLOOKUP(D174,'Form Responses 1'!B:J,5,FALSE)</f>
        <v>PU BBM</v>
      </c>
      <c r="G174" s="38" t="str">
        <f>VLOOKUP(D174,'Form Responses 1'!B:J,6,FALSE)</f>
        <v>Eaglestar</v>
      </c>
      <c r="H174" s="38" t="str">
        <f>VLOOKUP(D174,'Form Responses 1'!B:J,7,FALSE)</f>
        <v>X1-111V</v>
      </c>
      <c r="I174" s="38">
        <f>VLOOKUP(D174,'Form Responses 1'!B:J,8,FALSE)</f>
        <v>1010210080</v>
      </c>
      <c r="J174" s="38" t="str">
        <f>VLOOKUP(D174,'Form Responses 1'!B:J,9,FALSE)</f>
        <v>50 L/min</v>
      </c>
      <c r="K174" s="23">
        <v>46077</v>
      </c>
      <c r="L174" s="30" t="s">
        <v>1340</v>
      </c>
      <c r="M174" s="28" t="b">
        <v>1</v>
      </c>
    </row>
    <row r="175" spans="1:13" ht="25.5">
      <c r="A175" s="29">
        <v>84</v>
      </c>
      <c r="B175" s="29" t="s">
        <v>1411</v>
      </c>
      <c r="C175" s="23">
        <v>46077</v>
      </c>
      <c r="D175" s="31" t="s">
        <v>647</v>
      </c>
      <c r="E175" s="38" t="str">
        <f>VLOOKUP(D175,'Form Responses 1'!B:J,2,FALSE)</f>
        <v>Desa Murtirejo, Kecamatan Kebumen, Kabupaten Kebumen</v>
      </c>
      <c r="F175" s="38" t="str">
        <f>VLOOKUP(D175,'Form Responses 1'!B:J,5,FALSE)</f>
        <v>PU BBM</v>
      </c>
      <c r="G175" s="38" t="str">
        <f>VLOOKUP(D175,'Form Responses 1'!B:J,6,FALSE)</f>
        <v>Eaglestar</v>
      </c>
      <c r="H175" s="38" t="str">
        <f>VLOOKUP(D175,'Form Responses 1'!B:J,7,FALSE)</f>
        <v>X1-111V</v>
      </c>
      <c r="I175" s="38">
        <f>VLOOKUP(D175,'Form Responses 1'!B:J,8,FALSE)</f>
        <v>1010210905</v>
      </c>
      <c r="J175" s="38" t="str">
        <f>VLOOKUP(D175,'Form Responses 1'!B:J,9,FALSE)</f>
        <v>50 L/min</v>
      </c>
      <c r="K175" s="23">
        <v>46077</v>
      </c>
      <c r="L175" s="30" t="s">
        <v>1340</v>
      </c>
      <c r="M175" s="28" t="b">
        <v>1</v>
      </c>
    </row>
    <row r="176" spans="1:13" ht="25.5">
      <c r="A176" s="29">
        <v>85</v>
      </c>
      <c r="B176" s="29" t="s">
        <v>1412</v>
      </c>
      <c r="C176" s="23">
        <v>46080</v>
      </c>
      <c r="D176" s="32" t="s">
        <v>649</v>
      </c>
      <c r="E176" s="38" t="str">
        <f>VLOOKUP(D176,'Form Responses 1'!B:J,2,FALSE)</f>
        <v xml:space="preserve">Desa Kalirancang, Kecamatan Alian, Kabupaten Kebumen </v>
      </c>
      <c r="F176" s="38" t="str">
        <f>VLOOKUP(D176,'Form Responses 1'!B:J,5,FALSE)</f>
        <v>PU BBM</v>
      </c>
      <c r="G176" s="38" t="str">
        <f>VLOOKUP(D176,'Form Responses 1'!B:J,6,FALSE)</f>
        <v>SANKI</v>
      </c>
      <c r="H176" s="38" t="str">
        <f>VLOOKUP(D176,'Form Responses 1'!B:J,7,FALSE)</f>
        <v>SK 10ZF111A</v>
      </c>
      <c r="I176" s="38" t="str">
        <f>VLOOKUP(D176,'Form Responses 1'!B:J,8,FALSE)</f>
        <v>1110AW201009</v>
      </c>
      <c r="J176" s="38" t="str">
        <f>VLOOKUP(D176,'Form Responses 1'!B:J,9,FALSE)</f>
        <v>50 L/min</v>
      </c>
      <c r="K176" s="23">
        <v>46079</v>
      </c>
      <c r="L176" s="30" t="s">
        <v>1340</v>
      </c>
      <c r="M176" s="28" t="b">
        <v>1</v>
      </c>
    </row>
    <row r="177" spans="1:13" ht="25.5">
      <c r="A177" s="29">
        <v>86</v>
      </c>
      <c r="B177" s="29" t="s">
        <v>1413</v>
      </c>
      <c r="C177" s="23">
        <v>46080</v>
      </c>
      <c r="D177" s="31" t="s">
        <v>653</v>
      </c>
      <c r="E177" s="38" t="str">
        <f>VLOOKUP(D177,'Form Responses 1'!B:J,2,FALSE)</f>
        <v>Desa Mulyosri, Kecamatan Prembun, Kabupaten Kebumen</v>
      </c>
      <c r="F177" s="38" t="str">
        <f>VLOOKUP(D177,'Form Responses 1'!B:J,5,FALSE)</f>
        <v>PU BBM</v>
      </c>
      <c r="G177" s="38" t="str">
        <f>VLOOKUP(D177,'Form Responses 1'!B:J,6,FALSE)</f>
        <v>CENSTAR</v>
      </c>
      <c r="H177" s="38" t="str">
        <f>VLOOKUP(D177,'Form Responses 1'!B:J,7,FALSE)</f>
        <v>CS30J1110G</v>
      </c>
      <c r="I177" s="38">
        <f>VLOOKUP(D177,'Form Responses 1'!B:J,8,FALSE)</f>
        <v>61021070091</v>
      </c>
      <c r="J177" s="38" t="str">
        <f>VLOOKUP(D177,'Form Responses 1'!B:J,9,FALSE)</f>
        <v>50 L/min</v>
      </c>
      <c r="K177" s="23">
        <v>46079</v>
      </c>
      <c r="L177" s="30" t="s">
        <v>1340</v>
      </c>
      <c r="M177" s="28" t="b">
        <v>1</v>
      </c>
    </row>
    <row r="178" spans="1:13" ht="25.5">
      <c r="A178" s="29">
        <v>87</v>
      </c>
      <c r="B178" s="29" t="s">
        <v>1414</v>
      </c>
      <c r="C178" s="23">
        <v>46080</v>
      </c>
      <c r="D178" s="32" t="s">
        <v>657</v>
      </c>
      <c r="E178" s="38" t="str">
        <f>VLOOKUP(D178,'Form Responses 1'!B:J,2,FALSE)</f>
        <v>Desa Bojongsari, Kecamatan Alian, Kabupaten Kebumen</v>
      </c>
      <c r="F178" s="38" t="str">
        <f>VLOOKUP(D178,'Form Responses 1'!B:J,5,FALSE)</f>
        <v>PU BBM</v>
      </c>
      <c r="G178" s="38" t="str">
        <f>VLOOKUP(D178,'Form Responses 1'!B:J,6,FALSE)</f>
        <v>SANKI</v>
      </c>
      <c r="H178" s="38" t="str">
        <f>VLOOKUP(D178,'Form Responses 1'!B:J,7,FALSE)</f>
        <v>SK 10ZF111A</v>
      </c>
      <c r="I178" s="38" t="str">
        <f>VLOOKUP(D178,'Form Responses 1'!B:J,8,FALSE)</f>
        <v>110AW208050</v>
      </c>
      <c r="J178" s="38" t="str">
        <f>VLOOKUP(D178,'Form Responses 1'!B:J,9,FALSE)</f>
        <v>50 L/min</v>
      </c>
      <c r="K178" s="23">
        <v>46079</v>
      </c>
      <c r="L178" s="30" t="s">
        <v>1340</v>
      </c>
      <c r="M178" s="28" t="b">
        <v>1</v>
      </c>
    </row>
    <row r="179" spans="1:13" ht="38.25">
      <c r="A179" s="29">
        <v>88</v>
      </c>
      <c r="B179" s="29" t="s">
        <v>1415</v>
      </c>
      <c r="C179" s="23">
        <v>46080</v>
      </c>
      <c r="D179" s="31" t="s">
        <v>676</v>
      </c>
      <c r="E179" s="38" t="str">
        <f>VLOOKUP(D179,'Form Responses 1'!B:J,2,FALSE)</f>
        <v>Jl. Pahlawan No. 02, Desa Kutosari, Kecamatan Kebumen, Kabupaten Kebumen</v>
      </c>
      <c r="F179" s="38" t="str">
        <f>VLOOKUP(D179,'Form Responses 1'!B:J,5,FALSE)</f>
        <v>Timbangan Elektronik</v>
      </c>
      <c r="G179" s="38" t="str">
        <f>VLOOKUP(D179,'Form Responses 1'!B:J,6,FALSE)</f>
        <v>Fortuno</v>
      </c>
      <c r="H179" s="38" t="str">
        <f>VLOOKUP(D179,'Form Responses 1'!B:J,7,FALSE)</f>
        <v>JKS</v>
      </c>
      <c r="I179" s="38" t="str">
        <f>VLOOKUP(D179,'Form Responses 1'!B:J,8,FALSE)</f>
        <v>JKSE 17021</v>
      </c>
      <c r="J179" s="38" t="str">
        <f>VLOOKUP(D179,'Form Responses 1'!B:J,9,FALSE)</f>
        <v>30 kg / 5 g</v>
      </c>
      <c r="K179" s="23">
        <v>46080</v>
      </c>
      <c r="L179" s="30" t="s">
        <v>1326</v>
      </c>
      <c r="M179" s="28" t="b">
        <v>1</v>
      </c>
    </row>
    <row r="180" spans="1:13" ht="38.25">
      <c r="A180" s="29">
        <v>89</v>
      </c>
      <c r="B180" s="21" t="s">
        <v>1416</v>
      </c>
      <c r="C180" s="23">
        <v>46080</v>
      </c>
      <c r="D180" s="32" t="s">
        <v>683</v>
      </c>
      <c r="E180" s="38" t="str">
        <f>VLOOKUP(D180,'Form Responses 1'!B:J,2,FALSE)</f>
        <v>Jl. Pahlawan No. 02, Desa Kutosari, Kecamatan Kebumen, Kabupaten Kebumen</v>
      </c>
      <c r="F180" s="38" t="str">
        <f>VLOOKUP(D180,'Form Responses 1'!B:J,5,FALSE)</f>
        <v>Timbangan Pegas</v>
      </c>
      <c r="G180" s="38" t="str">
        <f>VLOOKUP(D180,'Form Responses 1'!B:J,6,FALSE)</f>
        <v>Nagata</v>
      </c>
      <c r="H180" s="38" t="str">
        <f>VLOOKUP(D180,'Form Responses 1'!B:J,7,FALSE)</f>
        <v>-</v>
      </c>
      <c r="I180" s="38" t="str">
        <f>VLOOKUP(D180,'Form Responses 1'!B:J,8,FALSE)</f>
        <v>A100W 301040</v>
      </c>
      <c r="J180" s="38" t="str">
        <f>VLOOKUP(D180,'Form Responses 1'!B:J,9,FALSE)</f>
        <v>25 kg / 50 g</v>
      </c>
      <c r="K180" s="23">
        <v>46080</v>
      </c>
      <c r="L180" s="30" t="s">
        <v>1326</v>
      </c>
      <c r="M180" s="28" t="b">
        <v>1</v>
      </c>
    </row>
    <row r="181" spans="1:13" ht="38.25">
      <c r="A181" s="29">
        <v>90</v>
      </c>
      <c r="B181" s="29" t="s">
        <v>1417</v>
      </c>
      <c r="C181" s="23">
        <v>46083</v>
      </c>
      <c r="D181" s="31" t="s">
        <v>665</v>
      </c>
      <c r="E181" s="38" t="str">
        <f>VLOOKUP(D181,'Form Responses 1'!B:J,2,FALSE)</f>
        <v>Jl. Lingkar Selatan, Desa Kalirejo, Kecamatan Kebumen, Kabupaten Kebumen</v>
      </c>
      <c r="F181" s="38" t="str">
        <f>VLOOKUP(D181,'Form Responses 1'!B:J,5,FALSE)</f>
        <v>Timbangan Elektronik</v>
      </c>
      <c r="G181" s="38" t="str">
        <f>VLOOKUP(D181,'Form Responses 1'!B:J,6,FALSE)</f>
        <v>DIGITECH</v>
      </c>
      <c r="H181" s="38" t="str">
        <f>VLOOKUP(D181,'Form Responses 1'!B:J,7,FALSE)</f>
        <v>DB-IS</v>
      </c>
      <c r="I181" s="38" t="str">
        <f>VLOOKUP(D181,'Form Responses 1'!B:J,8,FALSE)</f>
        <v>DB24128040</v>
      </c>
      <c r="J181" s="38" t="str">
        <f>VLOOKUP(D181,'Form Responses 1'!B:J,9,FALSE)</f>
        <v>80 kg /0,001 kg</v>
      </c>
      <c r="K181" s="23">
        <v>46080</v>
      </c>
      <c r="L181" s="30" t="s">
        <v>1326</v>
      </c>
      <c r="M181" s="28" t="b">
        <v>0</v>
      </c>
    </row>
    <row r="182" spans="1:13" ht="38.25">
      <c r="D182" s="32" t="s">
        <v>670</v>
      </c>
      <c r="E182" s="38" t="str">
        <f>VLOOKUP(D182,'Form Responses 1'!B:J,2,FALSE)</f>
        <v>Jl. Lingkar Selatan, Desa Kalirejo, Kecamatan Kebumen, Kabupaten Kebumen</v>
      </c>
      <c r="F182" s="38" t="str">
        <f>VLOOKUP(D182,'Form Responses 1'!B:J,5,FALSE)</f>
        <v>Timbangan Elektronik</v>
      </c>
      <c r="G182" s="38" t="str">
        <f>VLOOKUP(D182,'Form Responses 1'!B:J,6,FALSE)</f>
        <v>DIGITECH</v>
      </c>
      <c r="H182" s="38" t="str">
        <f>VLOOKUP(D182,'Form Responses 1'!B:J,7,FALSE)</f>
        <v>DB-IS</v>
      </c>
      <c r="I182" s="38" t="str">
        <f>VLOOKUP(D182,'Form Responses 1'!B:J,8,FALSE)</f>
        <v>2105140C0A</v>
      </c>
      <c r="J182" s="38" t="str">
        <f>VLOOKUP(D182,'Form Responses 1'!B:J,9,FALSE)</f>
        <v>80 kg / 0,001 kg</v>
      </c>
      <c r="K182" s="23">
        <v>46080</v>
      </c>
      <c r="L182" s="30" t="s">
        <v>1326</v>
      </c>
      <c r="M182" s="28" t="b">
        <v>0</v>
      </c>
    </row>
    <row r="183" spans="1:13" ht="38.25">
      <c r="D183" s="31" t="s">
        <v>670</v>
      </c>
      <c r="E183" s="38" t="str">
        <f>VLOOKUP(D183,'Form Responses 1'!B:J,2,FALSE)</f>
        <v>Jl. Lingkar Selatan, Desa Kalirejo, Kecamatan Kebumen, Kabupaten Kebumen</v>
      </c>
      <c r="F183" s="38" t="str">
        <f>VLOOKUP(D183,'Form Responses 1'!B:J,5,FALSE)</f>
        <v>Timbangan Elektronik</v>
      </c>
      <c r="G183" s="38" t="str">
        <f>VLOOKUP(D183,'Form Responses 1'!B:J,6,FALSE)</f>
        <v>DIGITECH</v>
      </c>
      <c r="H183" s="38" t="str">
        <f>VLOOKUP(D183,'Form Responses 1'!B:J,7,FALSE)</f>
        <v>DB-IS</v>
      </c>
      <c r="I183" s="38" t="str">
        <f>VLOOKUP(D183,'Form Responses 1'!B:J,8,FALSE)</f>
        <v>2105140C0A</v>
      </c>
      <c r="J183" s="38" t="str">
        <f>VLOOKUP(D183,'Form Responses 1'!B:J,9,FALSE)</f>
        <v>80 kg / 0,001 kg</v>
      </c>
      <c r="K183" s="23">
        <v>46080</v>
      </c>
      <c r="L183" s="30" t="s">
        <v>1326</v>
      </c>
      <c r="M183" s="28" t="b">
        <v>0</v>
      </c>
    </row>
    <row r="184" spans="1:13" ht="38.25">
      <c r="A184" s="29">
        <v>91</v>
      </c>
      <c r="B184" s="29" t="s">
        <v>1418</v>
      </c>
      <c r="C184" s="23">
        <v>46083</v>
      </c>
      <c r="D184" s="32" t="s">
        <v>673</v>
      </c>
      <c r="E184" s="38" t="str">
        <f>VLOOKUP(D184,'Form Responses 1'!B:J,2,FALSE)</f>
        <v>Jl. Lingkar Selatan, Desa Kalirejo, Kecamatan Kebumen, Kabupaten Kebumen</v>
      </c>
      <c r="F184" s="38" t="str">
        <f>VLOOKUP(D184,'Form Responses 1'!B:J,5,FALSE)</f>
        <v>Anak Timbangan</v>
      </c>
      <c r="G184" s="38" t="str">
        <f>VLOOKUP(D184,'Form Responses 1'!B:J,6,FALSE)</f>
        <v>BUDI</v>
      </c>
      <c r="H184" s="38" t="str">
        <f>VLOOKUP(D184,'Form Responses 1'!B:J,7,FALSE)</f>
        <v>-</v>
      </c>
      <c r="I184" s="38" t="str">
        <f>VLOOKUP(D184,'Form Responses 1'!B:J,8,FALSE)</f>
        <v>-</v>
      </c>
      <c r="J184" s="38" t="str">
        <f>VLOOKUP(D184,'Form Responses 1'!B:J,9,FALSE)</f>
        <v xml:space="preserve">10 kg </v>
      </c>
      <c r="K184" s="23">
        <v>46080</v>
      </c>
      <c r="L184" s="30" t="s">
        <v>1322</v>
      </c>
      <c r="M184" s="28" t="b">
        <v>0</v>
      </c>
    </row>
    <row r="185" spans="1:13" ht="38.25">
      <c r="D185" s="39" t="s">
        <v>690</v>
      </c>
      <c r="E185" s="38" t="str">
        <f>VLOOKUP(D185,'Form Responses 1'!B:J,2,FALSE)</f>
        <v>Jl. Lingkar Selatan, Desa Kalirejo, Kecamatan Kebumen, Kabupaten Kebumen</v>
      </c>
      <c r="F185" s="38" t="str">
        <f>VLOOKUP(D185,'Form Responses 1'!B:J,5,FALSE)</f>
        <v>Anak Timbangan</v>
      </c>
      <c r="G185" s="38" t="str">
        <f>VLOOKUP(D185,'Form Responses 1'!B:J,6,FALSE)</f>
        <v>-</v>
      </c>
      <c r="H185" s="38" t="str">
        <f>VLOOKUP(D185,'Form Responses 1'!B:J,7,FALSE)</f>
        <v>-</v>
      </c>
      <c r="I185" s="38" t="str">
        <f>VLOOKUP(D185,'Form Responses 1'!B:J,8,FALSE)</f>
        <v>-</v>
      </c>
      <c r="J185" s="38" t="str">
        <f>VLOOKUP(D185,'Form Responses 1'!B:J,9,FALSE)</f>
        <v>5 kg</v>
      </c>
      <c r="K185" s="23"/>
      <c r="L185" s="30" t="s">
        <v>1322</v>
      </c>
      <c r="M185" s="28" t="b">
        <v>0</v>
      </c>
    </row>
    <row r="186" spans="1:13" ht="38.25">
      <c r="D186" s="40" t="s">
        <v>691</v>
      </c>
      <c r="E186" s="38" t="str">
        <f>VLOOKUP(D186,'Form Responses 1'!B:J,2,FALSE)</f>
        <v>Jl. Lingkar Selatan, Desa Kalirejo, Kecamatan Kebumen, Kabupaten Kebumen</v>
      </c>
      <c r="F186" s="38" t="str">
        <f>VLOOKUP(D186,'Form Responses 1'!B:J,5,FALSE)</f>
        <v>Anak Timbangan</v>
      </c>
      <c r="G186" s="38" t="str">
        <f>VLOOKUP(D186,'Form Responses 1'!B:J,6,FALSE)</f>
        <v>-</v>
      </c>
      <c r="H186" s="38" t="str">
        <f>VLOOKUP(D186,'Form Responses 1'!B:J,7,FALSE)</f>
        <v>-</v>
      </c>
      <c r="I186" s="38" t="str">
        <f>VLOOKUP(D186,'Form Responses 1'!B:J,8,FALSE)</f>
        <v>--</v>
      </c>
      <c r="J186" s="38" t="str">
        <f>VLOOKUP(D186,'Form Responses 1'!B:J,9,FALSE)</f>
        <v>5 kg</v>
      </c>
      <c r="K186" s="23"/>
      <c r="L186" s="30" t="s">
        <v>1322</v>
      </c>
      <c r="M186" s="28" t="b">
        <v>0</v>
      </c>
    </row>
    <row r="187" spans="1:13" ht="38.25">
      <c r="D187" s="39" t="s">
        <v>693</v>
      </c>
      <c r="E187" s="38" t="str">
        <f>VLOOKUP(D187,'Form Responses 1'!B:J,2,FALSE)</f>
        <v>Jl. Lingkar Selatan, Desa Kalirejo, Kecamatan Kebumen, Kabupaten Kebumen</v>
      </c>
      <c r="F187" s="38" t="str">
        <f>VLOOKUP(D187,'Form Responses 1'!B:J,5,FALSE)</f>
        <v>Anak Timbangan</v>
      </c>
      <c r="G187" s="38" t="str">
        <f>VLOOKUP(D187,'Form Responses 1'!B:J,6,FALSE)</f>
        <v>-</v>
      </c>
      <c r="H187" s="38" t="str">
        <f>VLOOKUP(D187,'Form Responses 1'!B:J,7,FALSE)</f>
        <v>-</v>
      </c>
      <c r="I187" s="38">
        <f>VLOOKUP(D187,'Form Responses 1'!B:J,8,FALSE)</f>
        <v>2201</v>
      </c>
      <c r="J187" s="38" t="str">
        <f>VLOOKUP(D187,'Form Responses 1'!B:J,9,FALSE)</f>
        <v>5 kg</v>
      </c>
      <c r="K187" s="23"/>
      <c r="L187" s="30" t="s">
        <v>1322</v>
      </c>
      <c r="M187" s="28" t="b">
        <v>0</v>
      </c>
    </row>
    <row r="188" spans="1:13" ht="38.25">
      <c r="D188" s="40" t="s">
        <v>694</v>
      </c>
      <c r="E188" s="38" t="str">
        <f>VLOOKUP(D188,'Form Responses 1'!B:J,2,FALSE)</f>
        <v>Jl. Lingkar Selatan, Desa Kalirejo, Kecamatan Kebumen, Kabupaten Kebumen</v>
      </c>
      <c r="F188" s="38" t="str">
        <f>VLOOKUP(D188,'Form Responses 1'!B:J,5,FALSE)</f>
        <v>Anak Timbangan</v>
      </c>
      <c r="G188" s="38" t="str">
        <f>VLOOKUP(D188,'Form Responses 1'!B:J,6,FALSE)</f>
        <v>-</v>
      </c>
      <c r="H188" s="38" t="str">
        <f>VLOOKUP(D188,'Form Responses 1'!B:J,7,FALSE)</f>
        <v>-</v>
      </c>
      <c r="I188" s="38">
        <f>VLOOKUP(D188,'Form Responses 1'!B:J,8,FALSE)</f>
        <v>2204</v>
      </c>
      <c r="J188" s="38" t="str">
        <f>VLOOKUP(D188,'Form Responses 1'!B:J,9,FALSE)</f>
        <v xml:space="preserve">5 kg </v>
      </c>
      <c r="K188" s="23"/>
      <c r="L188" s="30" t="s">
        <v>1322</v>
      </c>
      <c r="M188" s="28" t="b">
        <v>0</v>
      </c>
    </row>
    <row r="189" spans="1:13" ht="38.25">
      <c r="A189" s="29">
        <v>92</v>
      </c>
      <c r="B189" s="21" t="s">
        <v>1419</v>
      </c>
      <c r="C189" s="23">
        <v>46083</v>
      </c>
      <c r="D189" s="31" t="s">
        <v>696</v>
      </c>
      <c r="E189" s="38" t="str">
        <f>VLOOKUP(D189,'Form Responses 1'!B:J,2,FALSE)</f>
        <v>Karangputat, Kelurahan Pekuwon, Kecamatan Adimulyo, Kabupaten Kebumen</v>
      </c>
      <c r="F189" s="38" t="str">
        <f>VLOOKUP(D189,'Form Responses 1'!B:J,5,FALSE)</f>
        <v>Timbangan Pegas</v>
      </c>
      <c r="G189" s="38" t="str">
        <f>VLOOKUP(D189,'Form Responses 1'!B:J,6,FALSE)</f>
        <v>Salter</v>
      </c>
      <c r="H189" s="38" t="str">
        <f>VLOOKUP(D189,'Form Responses 1'!B:J,7,FALSE)</f>
        <v>235 6M</v>
      </c>
      <c r="I189" s="38" t="str">
        <f>VLOOKUP(D189,'Form Responses 1'!B:J,8,FALSE)</f>
        <v>-</v>
      </c>
      <c r="J189" s="38" t="str">
        <f>VLOOKUP(D189,'Form Responses 1'!B:J,9,FALSE)</f>
        <v>50 kg / 200 g</v>
      </c>
      <c r="K189" s="23">
        <v>46080</v>
      </c>
      <c r="L189" s="30" t="s">
        <v>1326</v>
      </c>
      <c r="M189" s="28" t="b">
        <v>1</v>
      </c>
    </row>
    <row r="190" spans="1:13" ht="38.25">
      <c r="A190" s="29">
        <v>93</v>
      </c>
      <c r="B190" s="29" t="s">
        <v>1420</v>
      </c>
      <c r="C190" s="23">
        <v>46083</v>
      </c>
      <c r="D190" s="32" t="s">
        <v>703</v>
      </c>
      <c r="E190" s="38" t="str">
        <f>VLOOKUP(D190,'Form Responses 1'!B:J,2,FALSE)</f>
        <v>Karangputat, Kelurahan Pekuwon, Kecamatan Adimulyo, Kabupaten Kebumen</v>
      </c>
      <c r="F190" s="38" t="str">
        <f>VLOOKUP(D190,'Form Responses 1'!B:J,5,FALSE)</f>
        <v>Timbangan Elektronik</v>
      </c>
      <c r="G190" s="38" t="str">
        <f>VLOOKUP(D190,'Form Responses 1'!B:J,6,FALSE)</f>
        <v>3A</v>
      </c>
      <c r="H190" s="38" t="str">
        <f>VLOOKUP(D190,'Form Responses 1'!B:J,7,FALSE)</f>
        <v>DLE-300</v>
      </c>
      <c r="I190" s="38" t="str">
        <f>VLOOKUP(D190,'Form Responses 1'!B:J,8,FALSE)</f>
        <v>-</v>
      </c>
      <c r="J190" s="38" t="str">
        <f>VLOOKUP(D190,'Form Responses 1'!B:J,9,FALSE)</f>
        <v>300 kg / 100 g</v>
      </c>
      <c r="K190" s="23">
        <v>46080</v>
      </c>
      <c r="L190" s="30" t="s">
        <v>1322</v>
      </c>
      <c r="M190" s="28" t="b">
        <v>1</v>
      </c>
    </row>
    <row r="191" spans="1:13" ht="38.25">
      <c r="A191" s="29">
        <v>94</v>
      </c>
      <c r="B191" s="29" t="s">
        <v>1421</v>
      </c>
      <c r="C191" s="23">
        <v>46083</v>
      </c>
      <c r="D191" s="31" t="s">
        <v>725</v>
      </c>
      <c r="E191" s="38" t="str">
        <f>VLOOKUP(D191,'Form Responses 1'!B:J,2,FALSE)</f>
        <v>Jl. Pahlawan No. 01, Desa Kutosari, Kecamatan Kebumen, Kabupaten Kebumen</v>
      </c>
      <c r="F191" s="38" t="str">
        <f>VLOOKUP(D191,'Form Responses 1'!B:J,5,FALSE)</f>
        <v>Timbangan Elektronik</v>
      </c>
      <c r="G191" s="38" t="str">
        <f>VLOOKUP(D191,'Form Responses 1'!B:J,6,FALSE)</f>
        <v>Fortuno</v>
      </c>
      <c r="H191" s="38" t="str">
        <f>VLOOKUP(D191,'Form Responses 1'!B:J,7,FALSE)</f>
        <v>JKS</v>
      </c>
      <c r="I191" s="38" t="str">
        <f>VLOOKUP(D191,'Form Responses 1'!B:J,8,FALSE)</f>
        <v>JKSE17022</v>
      </c>
      <c r="J191" s="38" t="str">
        <f>VLOOKUP(D191,'Form Responses 1'!B:J,9,FALSE)</f>
        <v>30 kg / 2 g</v>
      </c>
      <c r="K191" s="23">
        <v>46083</v>
      </c>
      <c r="L191" s="30" t="s">
        <v>1326</v>
      </c>
      <c r="M191" s="28" t="b">
        <v>1</v>
      </c>
    </row>
    <row r="192" spans="1:13" ht="38.25">
      <c r="A192" s="29">
        <v>95</v>
      </c>
      <c r="B192" s="29" t="s">
        <v>1422</v>
      </c>
      <c r="C192" s="23">
        <v>46083</v>
      </c>
      <c r="D192" s="32" t="s">
        <v>728</v>
      </c>
      <c r="E192" s="38" t="str">
        <f>VLOOKUP(D192,'Form Responses 1'!B:J,2,FALSE)</f>
        <v>Jl. Pahlawan No. 01, Desa Kutosari, Kecamatan Kebumen, Kabupaten Kebumen</v>
      </c>
      <c r="F192" s="38" t="str">
        <f>VLOOKUP(D192,'Form Responses 1'!B:J,5,FALSE)</f>
        <v>Timbangan Elektronik</v>
      </c>
      <c r="G192" s="38" t="str">
        <f>VLOOKUP(D192,'Form Responses 1'!B:J,6,FALSE)</f>
        <v>Fortuno</v>
      </c>
      <c r="H192" s="38" t="str">
        <f>VLOOKUP(D192,'Form Responses 1'!B:J,7,FALSE)</f>
        <v>JKS</v>
      </c>
      <c r="I192" s="38" t="str">
        <f>VLOOKUP(D192,'Form Responses 1'!B:J,8,FALSE)</f>
        <v>JKSE17023</v>
      </c>
      <c r="J192" s="38" t="str">
        <f>VLOOKUP(D192,'Form Responses 1'!B:J,9,FALSE)</f>
        <v>30 kg / 2 g</v>
      </c>
      <c r="K192" s="23">
        <v>46083</v>
      </c>
      <c r="L192" s="30" t="s">
        <v>1326</v>
      </c>
      <c r="M192" s="28" t="b">
        <v>1</v>
      </c>
    </row>
    <row r="193" spans="1:13" ht="38.25">
      <c r="A193" s="29">
        <v>96</v>
      </c>
      <c r="B193" s="29" t="s">
        <v>1423</v>
      </c>
      <c r="C193" s="23">
        <v>46083</v>
      </c>
      <c r="D193" s="31" t="s">
        <v>707</v>
      </c>
      <c r="E193" s="38" t="str">
        <f>VLOOKUP(D193,'Form Responses 1'!B:J,2,FALSE)</f>
        <v>Jl. Kuwarasan-Petanahan, Desa Sidomukti, Kecamatan Puring, Kabupaten Kebumen</v>
      </c>
      <c r="F193" s="38" t="str">
        <f>VLOOKUP(D193,'Form Responses 1'!B:J,5,FALSE)</f>
        <v>PU BBM</v>
      </c>
      <c r="G193" s="38" t="str">
        <f>VLOOKUP(D193,'Form Responses 1'!B:J,6,FALSE)</f>
        <v>SANKI</v>
      </c>
      <c r="H193" s="38" t="str">
        <f>VLOOKUP(D193,'Form Responses 1'!B:J,7,FALSE)</f>
        <v>SK 22QF111A</v>
      </c>
      <c r="I193" s="38" t="str">
        <f>VLOOKUP(D193,'Form Responses 1'!B:J,8,FALSE)</f>
        <v>203W07BJA8</v>
      </c>
      <c r="J193" s="38" t="str">
        <f>VLOOKUP(D193,'Form Responses 1'!B:J,9,FALSE)</f>
        <v>50 L/min</v>
      </c>
      <c r="K193" s="23">
        <v>46083</v>
      </c>
      <c r="L193" s="30" t="s">
        <v>1340</v>
      </c>
      <c r="M193" s="28" t="b">
        <v>1</v>
      </c>
    </row>
    <row r="194" spans="1:13" ht="38.25">
      <c r="A194" s="29">
        <v>97</v>
      </c>
      <c r="B194" s="29" t="s">
        <v>1424</v>
      </c>
      <c r="C194" s="23">
        <v>46083</v>
      </c>
      <c r="D194" s="32" t="s">
        <v>711</v>
      </c>
      <c r="E194" s="38" t="str">
        <f>VLOOKUP(D194,'Form Responses 1'!B:J,2,FALSE)</f>
        <v>Desa Argopeni RT 05 RW 04, Kecamatan Ayah, Kabupaten Kebumen</v>
      </c>
      <c r="F194" s="38" t="str">
        <f>VLOOKUP(D194,'Form Responses 1'!B:J,5,FALSE)</f>
        <v>PU BBM</v>
      </c>
      <c r="G194" s="38" t="str">
        <f>VLOOKUP(D194,'Form Responses 1'!B:J,6,FALSE)</f>
        <v>SANKI</v>
      </c>
      <c r="H194" s="38" t="str">
        <f>VLOOKUP(D194,'Form Responses 1'!B:J,7,FALSE)</f>
        <v>SK 10ZF111A</v>
      </c>
      <c r="I194" s="38" t="str">
        <f>VLOOKUP(D194,'Form Responses 1'!B:J,8,FALSE)</f>
        <v>-</v>
      </c>
      <c r="J194" s="38" t="str">
        <f>VLOOKUP(D194,'Form Responses 1'!B:J,9,FALSE)</f>
        <v>50 L/min</v>
      </c>
      <c r="K194" s="23">
        <v>46083</v>
      </c>
      <c r="L194" s="30" t="s">
        <v>1340</v>
      </c>
      <c r="M194" s="28" t="b">
        <v>1</v>
      </c>
    </row>
    <row r="195" spans="1:13" ht="25.5">
      <c r="A195" s="29">
        <v>98</v>
      </c>
      <c r="B195" s="29" t="s">
        <v>1425</v>
      </c>
      <c r="C195" s="23">
        <v>46083</v>
      </c>
      <c r="D195" s="31" t="s">
        <v>713</v>
      </c>
      <c r="E195" s="38" t="str">
        <f>VLOOKUP(D195,'Form Responses 1'!B:J,2,FALSE)</f>
        <v>Desa Sidoharjo, Kecamatan Puring, Kabupaten Kebumen</v>
      </c>
      <c r="F195" s="38" t="str">
        <f>VLOOKUP(D195,'Form Responses 1'!B:J,5,FALSE)</f>
        <v>PU BBM</v>
      </c>
      <c r="G195" s="38" t="str">
        <f>VLOOKUP(D195,'Form Responses 1'!B:J,6,FALSE)</f>
        <v>EAGLESTAR</v>
      </c>
      <c r="H195" s="38" t="str">
        <f>VLOOKUP(D195,'Form Responses 1'!B:J,7,FALSE)</f>
        <v>EG X1-111V</v>
      </c>
      <c r="I195" s="38">
        <f>VLOOKUP(D195,'Form Responses 1'!B:J,8,FALSE)</f>
        <v>1010210441</v>
      </c>
      <c r="J195" s="38" t="str">
        <f>VLOOKUP(D195,'Form Responses 1'!B:J,9,FALSE)</f>
        <v>50 L/min</v>
      </c>
      <c r="K195" s="23">
        <v>46083</v>
      </c>
      <c r="L195" s="30" t="s">
        <v>1340</v>
      </c>
      <c r="M195" s="28" t="b">
        <v>1</v>
      </c>
    </row>
    <row r="196" spans="1:13" ht="25.5">
      <c r="A196" s="29">
        <v>99</v>
      </c>
      <c r="B196" s="29" t="s">
        <v>1426</v>
      </c>
      <c r="C196" s="23">
        <v>46083</v>
      </c>
      <c r="D196" s="32" t="s">
        <v>717</v>
      </c>
      <c r="E196" s="38" t="str">
        <f>VLOOKUP(D196,'Form Responses 1'!B:J,2,FALSE)</f>
        <v>Desa Pasir, Kecamatan Ayah, Kabupaten Kebumen</v>
      </c>
      <c r="F196" s="38" t="str">
        <f>VLOOKUP(D196,'Form Responses 1'!B:J,5,FALSE)</f>
        <v>PU BBM</v>
      </c>
      <c r="G196" s="38" t="str">
        <f>VLOOKUP(D196,'Form Responses 1'!B:J,6,FALSE)</f>
        <v>SANKI</v>
      </c>
      <c r="H196" s="38" t="str">
        <f>VLOOKUP(D196,'Form Responses 1'!B:J,7,FALSE)</f>
        <v>SK 10ZF111A</v>
      </c>
      <c r="I196" s="38" t="str">
        <f>VLOOKUP(D196,'Form Responses 1'!B:J,8,FALSE)</f>
        <v>1110AW214112</v>
      </c>
      <c r="J196" s="38" t="str">
        <f>VLOOKUP(D196,'Form Responses 1'!B:J,9,FALSE)</f>
        <v>50 L/min</v>
      </c>
      <c r="K196" s="23">
        <v>46083</v>
      </c>
      <c r="L196" s="30" t="s">
        <v>1340</v>
      </c>
      <c r="M196" s="28" t="b">
        <v>1</v>
      </c>
    </row>
    <row r="197" spans="1:13" ht="38.25">
      <c r="A197" s="29">
        <v>100</v>
      </c>
      <c r="B197" s="29" t="s">
        <v>1427</v>
      </c>
      <c r="C197" s="23">
        <v>46084</v>
      </c>
      <c r="D197" s="31" t="s">
        <v>720</v>
      </c>
      <c r="E197" s="38" t="str">
        <f>VLOOKUP(D197,'Form Responses 1'!B:J,2,FALSE)</f>
        <v>Jl.Pantai Bopong RT 02 RW 03 Desa Sitiadi, Kecamatan Puring, Kabupaten Kebumen</v>
      </c>
      <c r="F197" s="38" t="str">
        <f>VLOOKUP(D197,'Form Responses 1'!B:J,5,FALSE)</f>
        <v>Neraca Obat</v>
      </c>
      <c r="G197" s="38" t="str">
        <f>VLOOKUP(D197,'Form Responses 1'!B:J,6,FALSE)</f>
        <v>Protis</v>
      </c>
      <c r="H197" s="38" t="str">
        <f>VLOOKUP(D197,'Form Responses 1'!B:J,7,FALSE)</f>
        <v>-</v>
      </c>
      <c r="I197" s="38">
        <f>VLOOKUP(D197,'Form Responses 1'!B:J,8,FALSE)</f>
        <v>11225</v>
      </c>
      <c r="J197" s="38" t="str">
        <f>VLOOKUP(D197,'Form Responses 1'!B:J,9,FALSE)</f>
        <v>500 g / 250 mg</v>
      </c>
      <c r="K197" s="23">
        <v>46083</v>
      </c>
      <c r="L197" s="30" t="s">
        <v>1326</v>
      </c>
      <c r="M197" s="28" t="b">
        <v>1</v>
      </c>
    </row>
    <row r="198" spans="1:13" ht="38.25">
      <c r="A198" s="29">
        <v>101</v>
      </c>
      <c r="B198" s="21" t="s">
        <v>1428</v>
      </c>
      <c r="C198" s="23">
        <v>46085</v>
      </c>
      <c r="D198" s="32" t="s">
        <v>687</v>
      </c>
      <c r="E198" s="38" t="str">
        <f>VLOOKUP(D198,'Form Responses 1'!B:J,2,FALSE)</f>
        <v>Jl. Pahlawan No. 01, Desa Kutosari, Kecamatan Kebumen, Kabupaten Kebumen</v>
      </c>
      <c r="F198" s="38" t="str">
        <f>VLOOKUP(D198,'Form Responses 1'!B:J,5,FALSE)</f>
        <v>Timbangan Pegas</v>
      </c>
      <c r="G198" s="38" t="str">
        <f>VLOOKUP(D198,'Form Responses 1'!B:J,6,FALSE)</f>
        <v>Nagata</v>
      </c>
      <c r="H198" s="38" t="str">
        <f>VLOOKUP(D198,'Form Responses 1'!B:J,7,FALSE)</f>
        <v>-</v>
      </c>
      <c r="I198" s="38" t="str">
        <f>VLOOKUP(D198,'Form Responses 1'!B:J,8,FALSE)</f>
        <v>A100W 301053</v>
      </c>
      <c r="J198" s="38" t="str">
        <f>VLOOKUP(D198,'Form Responses 1'!B:J,9,FALSE)</f>
        <v>25 kg / 50 g</v>
      </c>
      <c r="K198" s="23">
        <v>46084</v>
      </c>
      <c r="L198" s="30" t="s">
        <v>1326</v>
      </c>
      <c r="M198" s="28" t="b">
        <v>1</v>
      </c>
    </row>
    <row r="199" spans="1:13" ht="25.5">
      <c r="A199" s="29">
        <v>102</v>
      </c>
      <c r="B199" s="29" t="s">
        <v>1429</v>
      </c>
      <c r="C199" s="23">
        <v>46086</v>
      </c>
      <c r="D199" s="31" t="s">
        <v>730</v>
      </c>
      <c r="E199" s="38" t="str">
        <f>VLOOKUP(D199,'Form Responses 1'!B:J,2,FALSE)</f>
        <v>Desa Kaleng, Kecamatan Puring, Kabupaten Kebumen</v>
      </c>
      <c r="F199" s="38" t="str">
        <f>VLOOKUP(D199,'Form Responses 1'!B:J,5,FALSE)</f>
        <v>PU BBM</v>
      </c>
      <c r="G199" s="38" t="str">
        <f>VLOOKUP(D199,'Form Responses 1'!B:J,6,FALSE)</f>
        <v>SANKI</v>
      </c>
      <c r="H199" s="38" t="str">
        <f>VLOOKUP(D199,'Form Responses 1'!B:J,7,FALSE)</f>
        <v>10ZF111A</v>
      </c>
      <c r="I199" s="38" t="str">
        <f>VLOOKUP(D199,'Form Responses 1'!B:J,8,FALSE)</f>
        <v>1110AW208008</v>
      </c>
      <c r="J199" s="38" t="str">
        <f>VLOOKUP(D199,'Form Responses 1'!B:J,9,FALSE)</f>
        <v>50 L/min</v>
      </c>
      <c r="K199" s="23">
        <v>46085</v>
      </c>
      <c r="L199" s="30" t="s">
        <v>1326</v>
      </c>
      <c r="M199" s="28" t="b">
        <v>1</v>
      </c>
    </row>
    <row r="200" spans="1:13" ht="38.25">
      <c r="A200" s="29">
        <v>103</v>
      </c>
      <c r="B200" s="29" t="s">
        <v>1430</v>
      </c>
      <c r="C200" s="23">
        <v>46086</v>
      </c>
      <c r="D200" s="32" t="s">
        <v>733</v>
      </c>
      <c r="E200" s="38" t="str">
        <f>VLOOKUP(D200,'Form Responses 1'!B:J,2,FALSE)</f>
        <v>Desa Kedaleman Wetan, Kecamatan Puring, Kabupaten Kebumen</v>
      </c>
      <c r="F200" s="38" t="str">
        <f>VLOOKUP(D200,'Form Responses 1'!B:J,5,FALSE)</f>
        <v>PU BBM</v>
      </c>
      <c r="G200" s="38" t="str">
        <f>VLOOKUP(D200,'Form Responses 1'!B:J,6,FALSE)</f>
        <v>SANKI</v>
      </c>
      <c r="H200" s="38" t="str">
        <f>VLOOKUP(D200,'Form Responses 1'!B:J,7,FALSE)</f>
        <v>SK 10ZF111A</v>
      </c>
      <c r="I200" s="38" t="str">
        <f>VLOOKUP(D200,'Form Responses 1'!B:J,8,FALSE)</f>
        <v>1110AW201036</v>
      </c>
      <c r="J200" s="38" t="str">
        <f>VLOOKUP(D200,'Form Responses 1'!B:J,9,FALSE)</f>
        <v>50 L/min</v>
      </c>
      <c r="K200" s="23">
        <v>46085</v>
      </c>
      <c r="L200" s="30" t="s">
        <v>1326</v>
      </c>
      <c r="M200" s="28" t="b">
        <v>1</v>
      </c>
    </row>
    <row r="201" spans="1:13" ht="25.5">
      <c r="A201" s="29">
        <v>104</v>
      </c>
      <c r="B201" s="29" t="s">
        <v>1431</v>
      </c>
      <c r="C201" s="23">
        <v>46086</v>
      </c>
      <c r="D201" s="31" t="s">
        <v>736</v>
      </c>
      <c r="E201" s="38" t="str">
        <f>VLOOKUP(D201,'Form Responses 1'!B:J,2,FALSE)</f>
        <v>Desa Banjarejo, Kecamatan Puring, Kabupaten Kebumen</v>
      </c>
      <c r="F201" s="38" t="str">
        <f>VLOOKUP(D201,'Form Responses 1'!B:J,5,FALSE)</f>
        <v>PU BBM</v>
      </c>
      <c r="G201" s="38" t="str">
        <f>VLOOKUP(D201,'Form Responses 1'!B:J,6,FALSE)</f>
        <v>SANKI</v>
      </c>
      <c r="H201" s="38" t="str">
        <f>VLOOKUP(D201,'Form Responses 1'!B:J,7,FALSE)</f>
        <v>SK 10ZF111A</v>
      </c>
      <c r="I201" s="38" t="str">
        <f>VLOOKUP(D201,'Form Responses 1'!B:J,8,FALSE)</f>
        <v>1110AW216054</v>
      </c>
      <c r="J201" s="38" t="str">
        <f>VLOOKUP(D201,'Form Responses 1'!B:J,9,FALSE)</f>
        <v>50 L/min</v>
      </c>
      <c r="K201" s="23">
        <v>46085</v>
      </c>
      <c r="L201" s="30" t="s">
        <v>1326</v>
      </c>
      <c r="M201" s="28" t="b">
        <v>1</v>
      </c>
    </row>
    <row r="202" spans="1:13" ht="25.5">
      <c r="A202" s="29">
        <v>105</v>
      </c>
      <c r="B202" s="29" t="s">
        <v>1432</v>
      </c>
      <c r="C202" s="23">
        <v>46086</v>
      </c>
      <c r="D202" s="32" t="s">
        <v>739</v>
      </c>
      <c r="E202" s="38" t="str">
        <f>VLOOKUP(D202,'Form Responses 1'!B:J,2,FALSE)</f>
        <v>Desa Wonoyoso, Kecamatan Kuwarasan, Kabupaten Kebumen</v>
      </c>
      <c r="F202" s="38" t="str">
        <f>VLOOKUP(D202,'Form Responses 1'!B:J,5,FALSE)</f>
        <v>PU BBM</v>
      </c>
      <c r="G202" s="38" t="str">
        <f>VLOOKUP(D202,'Form Responses 1'!B:J,6,FALSE)</f>
        <v>EAGLESTAR</v>
      </c>
      <c r="H202" s="38" t="str">
        <f>VLOOKUP(D202,'Form Responses 1'!B:J,7,FALSE)</f>
        <v>EGXI-IIIV</v>
      </c>
      <c r="I202" s="38">
        <f>VLOOKUP(D202,'Form Responses 1'!B:J,8,FALSE)</f>
        <v>1010200618</v>
      </c>
      <c r="J202" s="38" t="str">
        <f>VLOOKUP(D202,'Form Responses 1'!B:J,9,FALSE)</f>
        <v>50 L/min</v>
      </c>
      <c r="K202" s="23">
        <v>46085</v>
      </c>
      <c r="L202" s="30" t="s">
        <v>1326</v>
      </c>
      <c r="M202" s="28" t="b">
        <v>1</v>
      </c>
    </row>
    <row r="203" spans="1:13" ht="25.5">
      <c r="A203" s="29">
        <v>106</v>
      </c>
      <c r="B203" s="29" t="s">
        <v>1433</v>
      </c>
      <c r="C203" s="23">
        <v>46086</v>
      </c>
      <c r="D203" s="31" t="s">
        <v>742</v>
      </c>
      <c r="E203" s="38" t="str">
        <f>VLOOKUP(D203,'Form Responses 1'!B:J,2,FALSE)</f>
        <v>Desa Podourip, Kecamatan Petanahan, Kabupaten Kebumen</v>
      </c>
      <c r="F203" s="38" t="str">
        <f>VLOOKUP(D203,'Form Responses 1'!B:J,5,FALSE)</f>
        <v>PU BBM</v>
      </c>
      <c r="G203" s="38" t="str">
        <f>VLOOKUP(D203,'Form Responses 1'!B:J,6,FALSE)</f>
        <v>Korea EnE</v>
      </c>
      <c r="H203" s="38" t="str">
        <f>VLOOKUP(D203,'Form Responses 1'!B:J,7,FALSE)</f>
        <v>DC-1SS</v>
      </c>
      <c r="I203" s="38" t="str">
        <f>VLOOKUP(D203,'Form Responses 1'!B:J,8,FALSE)</f>
        <v>ES-3872</v>
      </c>
      <c r="J203" s="38" t="str">
        <f>VLOOKUP(D203,'Form Responses 1'!B:J,9,FALSE)</f>
        <v>45L/Min</v>
      </c>
      <c r="K203" s="23">
        <v>46086</v>
      </c>
      <c r="L203" s="30" t="s">
        <v>1326</v>
      </c>
      <c r="M203" s="28" t="b">
        <v>1</v>
      </c>
    </row>
    <row r="204" spans="1:13" ht="25.5">
      <c r="A204" s="29">
        <v>107</v>
      </c>
      <c r="B204" s="29" t="s">
        <v>1434</v>
      </c>
      <c r="C204" s="23">
        <v>46086</v>
      </c>
      <c r="D204" s="32" t="s">
        <v>747</v>
      </c>
      <c r="E204" s="38" t="str">
        <f>VLOOKUP(D204,'Form Responses 1'!B:J,2,FALSE)</f>
        <v>Desa Kemujan, Kecamatan Adimulyo, Kabupaten Kebumen</v>
      </c>
      <c r="F204" s="38" t="str">
        <f>VLOOKUP(D204,'Form Responses 1'!B:J,5,FALSE)</f>
        <v>PU BBM</v>
      </c>
      <c r="G204" s="38" t="str">
        <f>VLOOKUP(D204,'Form Responses 1'!B:J,6,FALSE)</f>
        <v>Eaglestar</v>
      </c>
      <c r="H204" s="38" t="str">
        <f>VLOOKUP(D204,'Form Responses 1'!B:J,7,FALSE)</f>
        <v xml:space="preserve">EGXI-IIIV </v>
      </c>
      <c r="I204" s="38">
        <f>VLOOKUP(D204,'Form Responses 1'!B:J,8,FALSE)</f>
        <v>1010200047</v>
      </c>
      <c r="J204" s="38" t="str">
        <f>VLOOKUP(D204,'Form Responses 1'!B:J,9,FALSE)</f>
        <v>50 L/Min</v>
      </c>
      <c r="K204" s="23">
        <v>46086</v>
      </c>
      <c r="L204" s="30" t="s">
        <v>1326</v>
      </c>
      <c r="M204" s="28" t="b">
        <v>1</v>
      </c>
    </row>
    <row r="205" spans="1:13" ht="25.5">
      <c r="A205" s="29">
        <v>108</v>
      </c>
      <c r="B205" s="29" t="s">
        <v>1435</v>
      </c>
      <c r="C205" s="23">
        <v>46086</v>
      </c>
      <c r="D205" s="31" t="s">
        <v>751</v>
      </c>
      <c r="E205" s="38" t="str">
        <f>VLOOKUP(D205,'Form Responses 1'!B:J,2,FALSE)</f>
        <v xml:space="preserve"> Desa Arjomulyo, Kecamatan Adimulyo, Kabupaten Kebumen</v>
      </c>
      <c r="F205" s="38" t="str">
        <f>VLOOKUP(D205,'Form Responses 1'!B:J,5,FALSE)</f>
        <v>PU BBM</v>
      </c>
      <c r="G205" s="38" t="str">
        <f>VLOOKUP(D205,'Form Responses 1'!B:J,6,FALSE)</f>
        <v>Korea EnE</v>
      </c>
      <c r="H205" s="38" t="str">
        <f>VLOOKUP(D205,'Form Responses 1'!B:J,7,FALSE)</f>
        <v>DC-1SS</v>
      </c>
      <c r="I205" s="38" t="str">
        <f>VLOOKUP(D205,'Form Responses 1'!B:J,8,FALSE)</f>
        <v xml:space="preserve"> ES-3547</v>
      </c>
      <c r="J205" s="38" t="str">
        <f>VLOOKUP(D205,'Form Responses 1'!B:J,9,FALSE)</f>
        <v>45L/Min</v>
      </c>
      <c r="K205" s="23">
        <v>46086</v>
      </c>
      <c r="L205" s="30" t="s">
        <v>1326</v>
      </c>
      <c r="M205" s="28" t="b">
        <v>1</v>
      </c>
    </row>
    <row r="206" spans="1:13" ht="25.5">
      <c r="A206" s="29">
        <v>109</v>
      </c>
      <c r="B206" s="29" t="s">
        <v>1436</v>
      </c>
      <c r="C206" s="23">
        <v>46086</v>
      </c>
      <c r="D206" s="32" t="s">
        <v>754</v>
      </c>
      <c r="E206" s="38" t="str">
        <f>VLOOKUP(D206,'Form Responses 1'!B:J,2,FALSE)</f>
        <v>Desa Gandusari, Kecamatan Kewarasan, Kabupaten Kebumen</v>
      </c>
      <c r="F206" s="38" t="str">
        <f>VLOOKUP(D206,'Form Responses 1'!B:J,5,FALSE)</f>
        <v>PU BBM</v>
      </c>
      <c r="G206" s="38" t="str">
        <f>VLOOKUP(D206,'Form Responses 1'!B:J,6,FALSE)</f>
        <v xml:space="preserve">Eaglestar </v>
      </c>
      <c r="H206" s="38" t="str">
        <f>VLOOKUP(D206,'Form Responses 1'!B:J,7,FALSE)</f>
        <v>EGXI-IIIV</v>
      </c>
      <c r="I206" s="38">
        <f>VLOOKUP(D206,'Form Responses 1'!B:J,8,FALSE)</f>
        <v>1010210661</v>
      </c>
      <c r="J206" s="38" t="str">
        <f>VLOOKUP(D206,'Form Responses 1'!B:J,9,FALSE)</f>
        <v>50L/Min</v>
      </c>
      <c r="K206" s="23">
        <v>46086</v>
      </c>
      <c r="L206" s="30" t="s">
        <v>1326</v>
      </c>
      <c r="M206" s="28" t="b">
        <v>1</v>
      </c>
    </row>
    <row r="207" spans="1:13" ht="25.5">
      <c r="A207" s="29">
        <v>110</v>
      </c>
      <c r="B207" s="29" t="s">
        <v>1437</v>
      </c>
      <c r="C207" s="23">
        <v>46090</v>
      </c>
      <c r="D207" s="31" t="s">
        <v>765</v>
      </c>
      <c r="E207" s="38" t="str">
        <f>VLOOKUP(D207,'Form Responses 1'!B:J,2,FALSE)</f>
        <v>Desa Sumberadi, Kecamatan Kebumen, Kabupaten Kebumen</v>
      </c>
      <c r="F207" s="38" t="str">
        <f>VLOOKUP(D207,'Form Responses 1'!B:J,5,FALSE)</f>
        <v>PU BBM</v>
      </c>
      <c r="G207" s="38" t="str">
        <f>VLOOKUP(D207,'Form Responses 1'!B:J,6,FALSE)</f>
        <v>KoreaEnE</v>
      </c>
      <c r="H207" s="38" t="str">
        <f>VLOOKUP(D207,'Form Responses 1'!B:J,7,FALSE)</f>
        <v>DC 133</v>
      </c>
      <c r="I207" s="38" t="str">
        <f>VLOOKUP(D207,'Form Responses 1'!B:J,8,FALSE)</f>
        <v>ES-3074</v>
      </c>
      <c r="J207" s="38" t="str">
        <f>VLOOKUP(D207,'Form Responses 1'!B:J,9,FALSE)</f>
        <v>45 L/min</v>
      </c>
      <c r="K207" s="23">
        <v>46090</v>
      </c>
      <c r="L207" s="30" t="s">
        <v>1340</v>
      </c>
      <c r="M207" s="28" t="b">
        <v>1</v>
      </c>
    </row>
    <row r="208" spans="1:13" ht="25.5">
      <c r="A208" s="29">
        <v>111</v>
      </c>
      <c r="B208" s="29" t="s">
        <v>1438</v>
      </c>
      <c r="C208" s="23">
        <v>46090</v>
      </c>
      <c r="D208" s="32" t="s">
        <v>770</v>
      </c>
      <c r="E208" s="38" t="str">
        <f>VLOOKUP(D208,'Form Responses 1'!B:J,2,FALSE)</f>
        <v>Desa Pekutan, Kecamatan Mirit, Kabupaten Kebumen</v>
      </c>
      <c r="F208" s="38" t="str">
        <f>VLOOKUP(D208,'Form Responses 1'!B:J,5,FALSE)</f>
        <v>PU BBM</v>
      </c>
      <c r="G208" s="38" t="str">
        <f>VLOOKUP(D208,'Form Responses 1'!B:J,6,FALSE)</f>
        <v xml:space="preserve">EAGLESTAR </v>
      </c>
      <c r="H208" s="38" t="str">
        <f>VLOOKUP(D208,'Form Responses 1'!B:J,7,FALSE)</f>
        <v>EGX1-111V</v>
      </c>
      <c r="I208" s="38">
        <f>VLOOKUP(D208,'Form Responses 1'!B:J,8,FALSE)</f>
        <v>1010200093</v>
      </c>
      <c r="J208" s="38" t="str">
        <f>VLOOKUP(D208,'Form Responses 1'!B:J,9,FALSE)</f>
        <v>50 L/min</v>
      </c>
      <c r="K208" s="23">
        <v>46090</v>
      </c>
      <c r="L208" s="30" t="s">
        <v>1340</v>
      </c>
      <c r="M208" s="28" t="b">
        <v>1</v>
      </c>
    </row>
    <row r="209" spans="1:13" ht="25.5">
      <c r="A209" s="29">
        <v>112</v>
      </c>
      <c r="B209" s="29" t="s">
        <v>1439</v>
      </c>
      <c r="C209" s="23">
        <v>46090</v>
      </c>
      <c r="D209" s="31" t="s">
        <v>774</v>
      </c>
      <c r="E209" s="38" t="str">
        <f>VLOOKUP(D209,'Form Responses 1'!B:J,2,FALSE)</f>
        <v>Desa Miritpetikusan, Kecamatan Mirit, Kabupaten Kebumen</v>
      </c>
      <c r="F209" s="38" t="str">
        <f>VLOOKUP(D209,'Form Responses 1'!B:J,5,FALSE)</f>
        <v>PU BBM</v>
      </c>
      <c r="G209" s="38" t="str">
        <f>VLOOKUP(D209,'Form Responses 1'!B:J,6,FALSE)</f>
        <v>SANKI</v>
      </c>
      <c r="H209" s="38" t="str">
        <f>VLOOKUP(D209,'Form Responses 1'!B:J,7,FALSE)</f>
        <v>SK10ZF111A</v>
      </c>
      <c r="I209" s="38" t="str">
        <f>VLOOKUP(D209,'Form Responses 1'!B:J,8,FALSE)</f>
        <v>1110AW20A049</v>
      </c>
      <c r="J209" s="38" t="str">
        <f>VLOOKUP(D209,'Form Responses 1'!B:J,9,FALSE)</f>
        <v>50 L/min</v>
      </c>
      <c r="K209" s="23">
        <v>46090</v>
      </c>
      <c r="L209" s="30" t="s">
        <v>1340</v>
      </c>
      <c r="M209" s="28" t="b">
        <v>1</v>
      </c>
    </row>
    <row r="210" spans="1:13" ht="25.5">
      <c r="A210" s="29">
        <v>113</v>
      </c>
      <c r="B210" s="29" t="s">
        <v>1440</v>
      </c>
      <c r="C210" s="23">
        <v>46090</v>
      </c>
      <c r="D210" s="32" t="s">
        <v>778</v>
      </c>
      <c r="E210" s="38" t="str">
        <f>VLOOKUP(D210,'Form Responses 1'!B:J,2,FALSE)</f>
        <v>Desa Patukgawemulyo, Kecamatan Mirit, Kabupaten Kebumen</v>
      </c>
      <c r="F210" s="38" t="str">
        <f>VLOOKUP(D210,'Form Responses 1'!B:J,5,FALSE)</f>
        <v>PU BBM</v>
      </c>
      <c r="G210" s="38" t="str">
        <f>VLOOKUP(D210,'Form Responses 1'!B:J,6,FALSE)</f>
        <v>CENSTAR</v>
      </c>
      <c r="H210" s="38" t="str">
        <f>VLOOKUP(D210,'Form Responses 1'!B:J,7,FALSE)</f>
        <v>CS30J1110G</v>
      </c>
      <c r="I210" s="38">
        <f>VLOOKUP(D210,'Form Responses 1'!B:J,8,FALSE)</f>
        <v>61021070013</v>
      </c>
      <c r="J210" s="38" t="str">
        <f>VLOOKUP(D210,'Form Responses 1'!B:J,9,FALSE)</f>
        <v>50 L/min</v>
      </c>
      <c r="K210" s="23">
        <v>46090</v>
      </c>
      <c r="L210" s="30" t="s">
        <v>1340</v>
      </c>
      <c r="M210" s="28" t="b">
        <v>1</v>
      </c>
    </row>
    <row r="211" spans="1:13" ht="38.25">
      <c r="A211" s="29">
        <v>114</v>
      </c>
      <c r="B211" s="29" t="s">
        <v>1441</v>
      </c>
      <c r="C211" s="23">
        <v>46091</v>
      </c>
      <c r="D211" s="29" t="s">
        <v>780</v>
      </c>
      <c r="E211" s="38" t="str">
        <f>VLOOKUP(D211,'Form Responses 1'!B:J,2,FALSE)</f>
        <v>Jl. Raya Karanganyar Timur km. 02,  Desa Candi, Kecamatan Karanganyar, Kabupaten Kebumen</v>
      </c>
      <c r="F211" s="38" t="str">
        <f>VLOOKUP(D211,'Form Responses 1'!B:J,5,FALSE)</f>
        <v>PU BBM</v>
      </c>
      <c r="G211" s="38" t="str">
        <f>VLOOKUP(D211,'Form Responses 1'!B:J,6,FALSE)</f>
        <v xml:space="preserve">TATSUNO </v>
      </c>
      <c r="H211" s="38" t="str">
        <f>VLOOKUP(D211,'Form Responses 1'!B:J,7,FALSE)</f>
        <v>GSA 2221</v>
      </c>
      <c r="I211" s="38" t="str">
        <f>VLOOKUP(D211,'Form Responses 1'!B:J,8,FALSE)</f>
        <v>AA 153134 2006-8</v>
      </c>
      <c r="J211" s="38" t="str">
        <f>VLOOKUP(D211,'Form Responses 1'!B:J,9,FALSE)</f>
        <v>60/6 L/Min</v>
      </c>
      <c r="K211" s="23">
        <v>46091</v>
      </c>
      <c r="L211" s="30" t="s">
        <v>1340</v>
      </c>
      <c r="M211" s="28" t="b">
        <v>1</v>
      </c>
    </row>
    <row r="212" spans="1:13" ht="25.5">
      <c r="A212" s="29">
        <v>115</v>
      </c>
      <c r="B212" s="29" t="s">
        <v>1442</v>
      </c>
      <c r="C212" s="23">
        <v>46092</v>
      </c>
      <c r="D212" s="29" t="s">
        <v>782</v>
      </c>
      <c r="E212" s="38" t="str">
        <f>VLOOKUP(D212,'Form Responses 1'!B:J,2,FALSE)</f>
        <v>Desa Klirong, Kecamatan Klirong, Kabupaten Kebumen</v>
      </c>
      <c r="F212" s="38" t="str">
        <f>VLOOKUP(D212,'Form Responses 1'!B:J,5,FALSE)</f>
        <v>PU BBM</v>
      </c>
      <c r="G212" s="38" t="str">
        <f>VLOOKUP(D212,'Form Responses 1'!B:J,6,FALSE)</f>
        <v>SANKI</v>
      </c>
      <c r="H212" s="38" t="str">
        <f>VLOOKUP(D212,'Form Responses 1'!B:J,7,FALSE)</f>
        <v>SK10ZF111A</v>
      </c>
      <c r="I212" s="38" t="str">
        <f>VLOOKUP(D212,'Form Responses 1'!B:J,8,FALSE)</f>
        <v>1110AW20B158</v>
      </c>
      <c r="J212" s="38" t="str">
        <f>VLOOKUP(D212,'Form Responses 1'!B:J,9,FALSE)</f>
        <v>50 L/Min</v>
      </c>
      <c r="K212" s="23">
        <v>46092</v>
      </c>
      <c r="L212" s="30" t="s">
        <v>1340</v>
      </c>
      <c r="M212" s="28" t="b">
        <v>1</v>
      </c>
    </row>
    <row r="213" spans="1:13" ht="25.5">
      <c r="A213" s="29">
        <v>116</v>
      </c>
      <c r="B213" s="29" t="s">
        <v>1443</v>
      </c>
      <c r="C213" s="23">
        <v>46092</v>
      </c>
      <c r="D213" s="29" t="s">
        <v>785</v>
      </c>
      <c r="E213" s="38" t="str">
        <f>VLOOKUP(D213,'Form Responses 1'!B:J,2,FALSE)</f>
        <v>Desa Karangkembang, Kecamatan Alian, Kabupaten Kebumen</v>
      </c>
      <c r="F213" s="38" t="str">
        <f>VLOOKUP(D213,'Form Responses 1'!B:J,5,FALSE)</f>
        <v>PU BBM</v>
      </c>
      <c r="G213" s="38" t="str">
        <f>VLOOKUP(D213,'Form Responses 1'!B:J,6,FALSE)</f>
        <v>WELLDONE</v>
      </c>
      <c r="H213" s="38" t="str">
        <f>VLOOKUP(D213,'Form Responses 1'!B:J,7,FALSE)</f>
        <v>WDLF112</v>
      </c>
      <c r="I213" s="38">
        <f>VLOOKUP(D213,'Form Responses 1'!B:J,8,FALSE)</f>
        <v>202108005</v>
      </c>
      <c r="J213" s="38" t="str">
        <f>VLOOKUP(D213,'Form Responses 1'!B:J,9,FALSE)</f>
        <v>50 L/Min</v>
      </c>
      <c r="K213" s="23">
        <v>46092</v>
      </c>
      <c r="L213" s="30" t="s">
        <v>1340</v>
      </c>
      <c r="M213" s="28" t="b">
        <v>1</v>
      </c>
    </row>
    <row r="214" spans="1:13" ht="25.5">
      <c r="A214" s="29">
        <v>117</v>
      </c>
      <c r="B214" s="29" t="s">
        <v>1444</v>
      </c>
      <c r="C214" s="23">
        <v>46092</v>
      </c>
      <c r="D214" s="29" t="s">
        <v>789</v>
      </c>
      <c r="E214" s="38" t="str">
        <f>VLOOKUP(D214,'Form Responses 1'!B:J,2,FALSE)</f>
        <v>Desa Jemur, Kecamatan Pejagoan, Kabupaten Kebumen</v>
      </c>
      <c r="F214" s="38" t="str">
        <f>VLOOKUP(D214,'Form Responses 1'!B:J,5,FALSE)</f>
        <v>PU BBM</v>
      </c>
      <c r="G214" s="38" t="str">
        <f>VLOOKUP(D214,'Form Responses 1'!B:J,6,FALSE)</f>
        <v>SANKI</v>
      </c>
      <c r="H214" s="38" t="str">
        <f>VLOOKUP(D214,'Form Responses 1'!B:J,7,FALSE)</f>
        <v>SK10ZF111A</v>
      </c>
      <c r="I214" s="38" t="str">
        <f>VLOOKUP(D214,'Form Responses 1'!B:J,8,FALSE)</f>
        <v>1110AW214127</v>
      </c>
      <c r="J214" s="38" t="str">
        <f>VLOOKUP(D214,'Form Responses 1'!B:J,9,FALSE)</f>
        <v>50 L/Min</v>
      </c>
      <c r="K214" s="23">
        <v>46092</v>
      </c>
      <c r="L214" s="30" t="s">
        <v>1340</v>
      </c>
      <c r="M214" s="28" t="b">
        <v>1</v>
      </c>
    </row>
    <row r="215" spans="1:13" ht="25.5">
      <c r="A215" s="29">
        <v>118</v>
      </c>
      <c r="B215" s="29" t="s">
        <v>1445</v>
      </c>
      <c r="C215" s="23">
        <v>46092</v>
      </c>
      <c r="D215" s="29" t="s">
        <v>792</v>
      </c>
      <c r="E215" s="38" t="str">
        <f>VLOOKUP(D215,'Form Responses 1'!B:J,2,FALSE)</f>
        <v>Desa Tanggeran, Kecamatan Sruweng, Kabupaten Kebumen</v>
      </c>
      <c r="F215" s="38" t="str">
        <f>VLOOKUP(D215,'Form Responses 1'!B:J,5,FALSE)</f>
        <v>PU BBM</v>
      </c>
      <c r="G215" s="38" t="str">
        <f>VLOOKUP(D215,'Form Responses 1'!B:J,6,FALSE)</f>
        <v>SANKI</v>
      </c>
      <c r="H215" s="38" t="str">
        <f>VLOOKUP(D215,'Form Responses 1'!B:J,7,FALSE)</f>
        <v>SK10ZF111A</v>
      </c>
      <c r="I215" s="38" t="str">
        <f>VLOOKUP(D215,'Form Responses 1'!B:J,8,FALSE)</f>
        <v>1110AW208159</v>
      </c>
      <c r="J215" s="38" t="str">
        <f>VLOOKUP(D215,'Form Responses 1'!B:J,9,FALSE)</f>
        <v>50 L/Min</v>
      </c>
      <c r="K215" s="23">
        <v>46092</v>
      </c>
      <c r="L215" s="30" t="s">
        <v>1340</v>
      </c>
      <c r="M215" s="28" t="b">
        <v>1</v>
      </c>
    </row>
    <row r="216" spans="1:13" ht="38.25">
      <c r="A216" s="29">
        <v>119</v>
      </c>
      <c r="B216" s="29" t="s">
        <v>1446</v>
      </c>
      <c r="C216" s="23">
        <v>46093</v>
      </c>
      <c r="D216" s="29" t="s">
        <v>795</v>
      </c>
      <c r="E216" s="38" t="str">
        <f>VLOOKUP(D216,'Form Responses 1'!B:J,2,FALSE)</f>
        <v>Desa Klapasawit, Kecamatan Buluspesantren, Kabupaten Kebumen</v>
      </c>
      <c r="F216" s="38" t="str">
        <f>VLOOKUP(D216,'Form Responses 1'!B:J,5,FALSE)</f>
        <v>PU BBM</v>
      </c>
      <c r="G216" s="38" t="str">
        <f>VLOOKUP(D216,'Form Responses 1'!B:J,6,FALSE)</f>
        <v xml:space="preserve">SANKI   </v>
      </c>
      <c r="H216" s="38" t="str">
        <f>VLOOKUP(D216,'Form Responses 1'!B:J,7,FALSE)</f>
        <v>SK10ZF111A</v>
      </c>
      <c r="I216" s="38" t="str">
        <f>VLOOKUP(D216,'Form Responses 1'!B:J,8,FALSE)</f>
        <v>1110AW214133</v>
      </c>
      <c r="J216" s="38" t="str">
        <f>VLOOKUP(D216,'Form Responses 1'!B:J,9,FALSE)</f>
        <v>50 L/Min</v>
      </c>
      <c r="K216" s="23">
        <v>46093</v>
      </c>
      <c r="L216" s="30" t="s">
        <v>1340</v>
      </c>
      <c r="M216" s="28" t="b">
        <v>1</v>
      </c>
    </row>
    <row r="217" spans="1:13" ht="25.5">
      <c r="A217" s="29">
        <v>120</v>
      </c>
      <c r="B217" s="29" t="s">
        <v>1447</v>
      </c>
      <c r="C217" s="23">
        <v>46093</v>
      </c>
      <c r="D217" s="29" t="s">
        <v>799</v>
      </c>
      <c r="E217" s="38" t="str">
        <f>VLOOKUP(D217,'Form Responses 1'!B:J,2,FALSE)</f>
        <v xml:space="preserve">Desa Lajer, Kecamatan Ambal, Kabupaten Kebumen  </v>
      </c>
      <c r="F217" s="38" t="str">
        <f>VLOOKUP(D217,'Form Responses 1'!B:J,5,FALSE)</f>
        <v>PU BBM</v>
      </c>
      <c r="G217" s="38" t="str">
        <f>VLOOKUP(D217,'Form Responses 1'!B:J,6,FALSE)</f>
        <v>SANKI</v>
      </c>
      <c r="H217" s="38" t="str">
        <f>VLOOKUP(D217,'Form Responses 1'!B:J,7,FALSE)</f>
        <v>SK10ZF111A</v>
      </c>
      <c r="I217" s="38" t="str">
        <f>VLOOKUP(D217,'Form Responses 1'!B:J,8,FALSE)</f>
        <v>1110AW214105</v>
      </c>
      <c r="J217" s="38" t="str">
        <f>VLOOKUP(D217,'Form Responses 1'!B:J,9,FALSE)</f>
        <v>50 L/Min</v>
      </c>
      <c r="K217" s="23">
        <v>46093</v>
      </c>
      <c r="L217" s="30" t="s">
        <v>1340</v>
      </c>
      <c r="M217" s="28" t="b">
        <v>1</v>
      </c>
    </row>
    <row r="218" spans="1:13" ht="25.5">
      <c r="A218" s="29">
        <v>121</v>
      </c>
      <c r="B218" s="29" t="s">
        <v>1448</v>
      </c>
      <c r="C218" s="23">
        <v>46093</v>
      </c>
      <c r="D218" s="29" t="s">
        <v>802</v>
      </c>
      <c r="E218" s="38" t="str">
        <f>VLOOKUP(D218,'Form Responses 1'!B:J,2,FALSE)</f>
        <v>Desa Sinungrejo, Kecamatan Ambal, Kabupaten Kebumen</v>
      </c>
      <c r="F218" s="38" t="str">
        <f>VLOOKUP(D218,'Form Responses 1'!B:J,5,FALSE)</f>
        <v>PU BBM</v>
      </c>
      <c r="G218" s="38" t="str">
        <f>VLOOKUP(D218,'Form Responses 1'!B:J,6,FALSE)</f>
        <v xml:space="preserve">Korea EnE   </v>
      </c>
      <c r="H218" s="38" t="str">
        <f>VLOOKUP(D218,'Form Responses 1'!B:J,7,FALSE)</f>
        <v>PSISS</v>
      </c>
      <c r="I218" s="38" t="str">
        <f>VLOOKUP(D218,'Form Responses 1'!B:J,8,FALSE)</f>
        <v>ES 5553</v>
      </c>
      <c r="J218" s="38" t="str">
        <f>VLOOKUP(D218,'Form Responses 1'!B:J,9,FALSE)</f>
        <v>50 L/Min</v>
      </c>
      <c r="K218" s="23">
        <v>46093</v>
      </c>
      <c r="L218" s="30" t="s">
        <v>1340</v>
      </c>
      <c r="M218" s="28" t="b">
        <v>1</v>
      </c>
    </row>
    <row r="219" spans="1:13" ht="38.25">
      <c r="A219" s="29">
        <v>122</v>
      </c>
      <c r="B219" s="29" t="s">
        <v>1449</v>
      </c>
      <c r="C219" s="23">
        <v>46097</v>
      </c>
      <c r="D219" s="41" t="s">
        <v>815</v>
      </c>
      <c r="E219" s="38" t="str">
        <f>VLOOKUP(D219,'Form Responses 1'!B:J,2,FALSE)</f>
        <v>Jl. HM Sarbini No. 63, Desa Bumirejo, Kecamatan Kebumen, Kabupaten Kebumen</v>
      </c>
      <c r="F219" s="38" t="str">
        <f>VLOOKUP(D219,'Form Responses 1'!B:J,5,FALSE)</f>
        <v>Neraca Obat</v>
      </c>
      <c r="G219" s="38" t="str">
        <f>VLOOKUP(D219,'Form Responses 1'!B:J,6,FALSE)</f>
        <v>Super De Lux</v>
      </c>
      <c r="H219" s="38" t="str">
        <f>VLOOKUP(D219,'Form Responses 1'!B:J,7,FALSE)</f>
        <v>-</v>
      </c>
      <c r="I219" s="38" t="str">
        <f>VLOOKUP(D219,'Form Responses 1'!B:J,8,FALSE)</f>
        <v>090453</v>
      </c>
      <c r="J219" s="38" t="str">
        <f>VLOOKUP(D219,'Form Responses 1'!B:J,9,FALSE)</f>
        <v>500 g / 250 mg</v>
      </c>
      <c r="K219" s="23">
        <v>46097</v>
      </c>
      <c r="L219" s="30" t="s">
        <v>1326</v>
      </c>
      <c r="M219" s="28" t="b">
        <v>1</v>
      </c>
    </row>
    <row r="220" spans="1:13" ht="38.25">
      <c r="A220" s="29">
        <v>123</v>
      </c>
      <c r="B220" s="29" t="s">
        <v>1450</v>
      </c>
      <c r="C220" s="23">
        <v>46097</v>
      </c>
      <c r="D220" s="29" t="s">
        <v>807</v>
      </c>
      <c r="E220" s="38" t="str">
        <f>VLOOKUP(D220,'Form Responses 1'!B:J,2,FALSE)</f>
        <v xml:space="preserve">Desa Kedungwaru RT 005 RW 001, Kecamatan Karangsambung, Kabupaten Kebumen </v>
      </c>
      <c r="F220" s="38" t="str">
        <f>VLOOKUP(D220,'Form Responses 1'!B:J,5,FALSE)</f>
        <v>PU BBM</v>
      </c>
      <c r="G220" s="38" t="str">
        <f>VLOOKUP(D220,'Form Responses 1'!B:J,6,FALSE)</f>
        <v>EAGLESTAR</v>
      </c>
      <c r="H220" s="38" t="str">
        <f>VLOOKUP(D220,'Form Responses 1'!B:J,7,FALSE)</f>
        <v>X1-111V</v>
      </c>
      <c r="I220" s="38">
        <f>VLOOKUP(D220,'Form Responses 1'!B:J,8,FALSE)</f>
        <v>1010210438</v>
      </c>
      <c r="J220" s="38" t="str">
        <f>VLOOKUP(D220,'Form Responses 1'!B:J,9,FALSE)</f>
        <v>50 L/Min</v>
      </c>
      <c r="K220" s="23">
        <v>46097</v>
      </c>
      <c r="L220" s="30" t="s">
        <v>1340</v>
      </c>
      <c r="M220" s="28" t="b">
        <v>1</v>
      </c>
    </row>
    <row r="221" spans="1:13" ht="38.25">
      <c r="A221" s="29">
        <v>124</v>
      </c>
      <c r="B221" s="29" t="s">
        <v>1451</v>
      </c>
      <c r="C221" s="23">
        <v>46097</v>
      </c>
      <c r="D221" s="29" t="s">
        <v>809</v>
      </c>
      <c r="E221" s="38" t="str">
        <f>VLOOKUP(D221,'Form Responses 1'!B:J,2,FALSE)</f>
        <v xml:space="preserve">Desa Pagebangan, Kecamatan Karanggayam, Kabupaten Kebumen </v>
      </c>
      <c r="F221" s="38" t="str">
        <f>VLOOKUP(D221,'Form Responses 1'!B:J,5,FALSE)</f>
        <v>PU BBM</v>
      </c>
      <c r="G221" s="38" t="str">
        <f>VLOOKUP(D221,'Form Responses 1'!B:J,6,FALSE)</f>
        <v>EAGLESTAR</v>
      </c>
      <c r="H221" s="38" t="str">
        <f>VLOOKUP(D221,'Form Responses 1'!B:J,7,FALSE)</f>
        <v>EGX1-111V</v>
      </c>
      <c r="I221" s="38">
        <f>VLOOKUP(D221,'Form Responses 1'!B:J,8,FALSE)</f>
        <v>1010210846</v>
      </c>
      <c r="J221" s="38" t="str">
        <f>VLOOKUP(D221,'Form Responses 1'!B:J,9,FALSE)</f>
        <v>50 L/Min</v>
      </c>
      <c r="K221" s="23">
        <v>46097</v>
      </c>
      <c r="L221" s="30" t="s">
        <v>1340</v>
      </c>
      <c r="M221" s="28" t="b">
        <v>1</v>
      </c>
    </row>
    <row r="222" spans="1:13" ht="51">
      <c r="A222" s="29">
        <v>125</v>
      </c>
      <c r="B222" s="29" t="s">
        <v>1452</v>
      </c>
      <c r="C222" s="23">
        <v>46097</v>
      </c>
      <c r="D222" s="29" t="s">
        <v>811</v>
      </c>
      <c r="E222" s="38" t="str">
        <f>VLOOKUP(D222,'Form Responses 1'!B:J,2,FALSE)</f>
        <v>Dukuh Kaliterus RT 2 RW 4 Desa Karanggayam, Kecamatan Karanggayam, Kabupaten Kebumen</v>
      </c>
      <c r="F222" s="38" t="str">
        <f>VLOOKUP(D222,'Form Responses 1'!B:J,5,FALSE)</f>
        <v>PU BBM</v>
      </c>
      <c r="G222" s="38" t="str">
        <f>VLOOKUP(D222,'Form Responses 1'!B:J,6,FALSE)</f>
        <v>KOREA EnE</v>
      </c>
      <c r="H222" s="38" t="str">
        <f>VLOOKUP(D222,'Form Responses 1'!B:J,7,FALSE)</f>
        <v>DC-1SS</v>
      </c>
      <c r="I222" s="38" t="str">
        <f>VLOOKUP(D222,'Form Responses 1'!B:J,8,FALSE)</f>
        <v>ES-2689</v>
      </c>
      <c r="J222" s="38" t="str">
        <f>VLOOKUP(D222,'Form Responses 1'!B:J,9,FALSE)</f>
        <v>45 L/Min</v>
      </c>
      <c r="K222" s="23">
        <v>46097</v>
      </c>
      <c r="L222" s="30" t="s">
        <v>1340</v>
      </c>
      <c r="M222" s="28" t="b">
        <v>1</v>
      </c>
    </row>
    <row r="223" spans="1:13" ht="25.5">
      <c r="A223" s="29">
        <v>126</v>
      </c>
      <c r="B223" s="29" t="s">
        <v>1453</v>
      </c>
      <c r="C223" s="23">
        <v>46098</v>
      </c>
      <c r="D223" s="29" t="s">
        <v>824</v>
      </c>
      <c r="E223" s="38" t="str">
        <f>VLOOKUP(D223,'Form Responses 1'!B:J,2,FALSE)</f>
        <v>Desa Jatijajar, Kecamatan Ayah, Kabupaten Kebumen</v>
      </c>
      <c r="F223" s="38" t="str">
        <f>VLOOKUP(D223,'Form Responses 1'!B:J,5,FALSE)</f>
        <v>PU BBM</v>
      </c>
      <c r="G223" s="38" t="str">
        <f>VLOOKUP(D223,'Form Responses 1'!B:J,6,FALSE)</f>
        <v xml:space="preserve">Eaglestar   </v>
      </c>
      <c r="H223" s="38" t="str">
        <f>VLOOKUP(D223,'Form Responses 1'!B:J,7,FALSE)</f>
        <v>EGXI-IIIV</v>
      </c>
      <c r="I223" s="38">
        <f>VLOOKUP(D223,'Form Responses 1'!B:J,8,FALSE)</f>
        <v>1010200594</v>
      </c>
      <c r="J223" s="38" t="str">
        <f>VLOOKUP(D223,'Form Responses 1'!B:J,9,FALSE)</f>
        <v>50L/Min</v>
      </c>
      <c r="K223" s="23">
        <v>46098</v>
      </c>
      <c r="L223" s="30" t="s">
        <v>1340</v>
      </c>
      <c r="M223" s="28" t="b">
        <v>1</v>
      </c>
    </row>
    <row r="224" spans="1:13" ht="25.5">
      <c r="A224" s="29">
        <v>127</v>
      </c>
      <c r="B224" s="29" t="s">
        <v>1454</v>
      </c>
      <c r="C224" s="23">
        <v>46098</v>
      </c>
      <c r="D224" s="29" t="s">
        <v>827</v>
      </c>
      <c r="E224" s="38" t="str">
        <f>VLOOKUP(D224,'Form Responses 1'!B:J,2,FALSE)</f>
        <v xml:space="preserve"> Desa Kretek, Kecamatan Rowokele, kabupaten Kebumen</v>
      </c>
      <c r="F224" s="38" t="str">
        <f>VLOOKUP(D224,'Form Responses 1'!B:J,5,FALSE)</f>
        <v>PU BBM</v>
      </c>
      <c r="G224" s="38" t="str">
        <f>VLOOKUP(D224,'Form Responses 1'!B:J,6,FALSE)</f>
        <v xml:space="preserve">Eaglestar   </v>
      </c>
      <c r="H224" s="38" t="str">
        <f>VLOOKUP(D224,'Form Responses 1'!B:J,7,FALSE)</f>
        <v>EGXI-IIIV</v>
      </c>
      <c r="I224" s="38">
        <f>VLOOKUP(D224,'Form Responses 1'!B:J,8,FALSE)</f>
        <v>1010210038</v>
      </c>
      <c r="J224" s="38" t="str">
        <f>VLOOKUP(D224,'Form Responses 1'!B:J,9,FALSE)</f>
        <v>50 L/Min</v>
      </c>
      <c r="K224" s="23">
        <v>46098</v>
      </c>
      <c r="L224" s="30" t="s">
        <v>1340</v>
      </c>
      <c r="M224" s="28" t="b">
        <v>1</v>
      </c>
    </row>
    <row r="225" spans="1:13" ht="25.5">
      <c r="A225" s="29">
        <v>128</v>
      </c>
      <c r="B225" s="29" t="s">
        <v>1455</v>
      </c>
      <c r="C225" s="23">
        <v>46098</v>
      </c>
      <c r="D225" s="29" t="s">
        <v>829</v>
      </c>
      <c r="E225" s="38" t="str">
        <f>VLOOKUP(D225,'Form Responses 1'!B:J,2,FALSE)</f>
        <v>Desa Ayah, Kecamatan Ayah, Kabupaten Kebumen</v>
      </c>
      <c r="F225" s="38" t="str">
        <f>VLOOKUP(D225,'Form Responses 1'!B:J,5,FALSE)</f>
        <v>PU BBM</v>
      </c>
      <c r="G225" s="38" t="str">
        <f>VLOOKUP(D225,'Form Responses 1'!B:J,6,FALSE)</f>
        <v xml:space="preserve">Korea EnE  </v>
      </c>
      <c r="H225" s="38" t="str">
        <f>VLOOKUP(D225,'Form Responses 1'!B:J,7,FALSE)</f>
        <v>PS1SS</v>
      </c>
      <c r="I225" s="38">
        <f>VLOOKUP(D225,'Form Responses 1'!B:J,8,FALSE)</f>
        <v>4857</v>
      </c>
      <c r="J225" s="38" t="str">
        <f>VLOOKUP(D225,'Form Responses 1'!B:J,9,FALSE)</f>
        <v>45L/Min</v>
      </c>
      <c r="K225" s="23">
        <v>46098</v>
      </c>
      <c r="L225" s="30" t="s">
        <v>1340</v>
      </c>
      <c r="M225" s="28" t="b">
        <v>1</v>
      </c>
    </row>
    <row r="226" spans="1:13" ht="25.5">
      <c r="A226" s="29">
        <v>129</v>
      </c>
      <c r="B226" s="21" t="s">
        <v>1456</v>
      </c>
      <c r="C226" s="23">
        <v>46098</v>
      </c>
      <c r="D226" s="29" t="s">
        <v>820</v>
      </c>
      <c r="E226" s="38" t="str">
        <f>VLOOKUP(D226,'Form Responses 1'!B:J,2,FALSE)</f>
        <v>Desa Seliling, Kecamatan Alian, Kabupaten Kebumen</v>
      </c>
      <c r="F226" s="38" t="str">
        <f>VLOOKUP(D226,'Form Responses 1'!B:J,5,FALSE)</f>
        <v>Timbangan Pegas</v>
      </c>
      <c r="G226" s="38" t="str">
        <f>VLOOKUP(D226,'Form Responses 1'!B:J,6,FALSE)</f>
        <v>Salter</v>
      </c>
      <c r="H226" s="38" t="str">
        <f>VLOOKUP(D226,'Form Responses 1'!B:J,7,FALSE)</f>
        <v>235 6M</v>
      </c>
      <c r="I226" s="38" t="str">
        <f>VLOOKUP(D226,'Form Responses 1'!B:J,8,FALSE)</f>
        <v>-</v>
      </c>
      <c r="J226" s="38" t="str">
        <f>VLOOKUP(D226,'Form Responses 1'!B:J,9,FALSE)</f>
        <v>50 kg / 200 g</v>
      </c>
      <c r="K226" s="23">
        <v>46098</v>
      </c>
      <c r="L226" s="30" t="s">
        <v>1326</v>
      </c>
      <c r="M226" s="28" t="b">
        <v>1</v>
      </c>
    </row>
    <row r="227" spans="1:13" ht="51">
      <c r="A227" s="29">
        <v>130</v>
      </c>
      <c r="B227" s="29" t="s">
        <v>1457</v>
      </c>
      <c r="C227" s="23">
        <v>46107</v>
      </c>
      <c r="D227" s="29" t="s">
        <v>832</v>
      </c>
      <c r="E227" s="38" t="str">
        <f>VLOOKUP(D227,'Form Responses 1'!B:J,2,FALSE)</f>
        <v>Jl. Letjen Suprapto RT 008 RW 006, Kelurahan Kebumen, Kecamatan Kebumen, Kabupaten Jawa Tengah</v>
      </c>
      <c r="F227" s="38" t="str">
        <f>VLOOKUP(D227,'Form Responses 1'!B:J,5,FALSE)</f>
        <v>Timbangan Elektronik</v>
      </c>
      <c r="G227" s="38" t="str">
        <f>VLOOKUP(D227,'Form Responses 1'!B:J,6,FALSE)</f>
        <v xml:space="preserve">ACIS </v>
      </c>
      <c r="H227" s="38" t="str">
        <f>VLOOKUP(D227,'Form Responses 1'!B:J,7,FALSE)</f>
        <v xml:space="preserve">BC-500 </v>
      </c>
      <c r="I227" s="38" t="str">
        <f>VLOOKUP(D227,'Form Responses 1'!B:J,8,FALSE)</f>
        <v>E240918371</v>
      </c>
      <c r="J227" s="38" t="str">
        <f>VLOOKUP(D227,'Form Responses 1'!B:J,9,FALSE)</f>
        <v>500 g / 0,1 g</v>
      </c>
      <c r="K227" s="23">
        <v>46107</v>
      </c>
      <c r="L227" s="30" t="s">
        <v>1324</v>
      </c>
      <c r="M227" s="28" t="b">
        <v>1</v>
      </c>
    </row>
    <row r="228" spans="1:13" ht="25.5">
      <c r="A228" s="29">
        <v>131</v>
      </c>
      <c r="B228" s="29" t="s">
        <v>1458</v>
      </c>
      <c r="C228" s="23">
        <v>46111</v>
      </c>
      <c r="D228" s="29" t="s">
        <v>845</v>
      </c>
      <c r="E228" s="38" t="str">
        <f>VLOOKUP(D228,'Form Responses 1'!B:J,2,FALSE)</f>
        <v>Desa Poncowarno, Kecamatan Poncowarno, Kabupaten Kebumen</v>
      </c>
      <c r="F228" s="38" t="str">
        <f>VLOOKUP(D228,'Form Responses 1'!B:J,5,FALSE)</f>
        <v>PU BBM</v>
      </c>
      <c r="G228" s="38" t="str">
        <f>VLOOKUP(D228,'Form Responses 1'!B:J,6,FALSE)</f>
        <v>SANKI</v>
      </c>
      <c r="H228" s="38" t="str">
        <f>VLOOKUP(D228,'Form Responses 1'!B:J,7,FALSE)</f>
        <v>220F111A</v>
      </c>
      <c r="I228" s="38" t="str">
        <f>VLOOKUP(D228,'Form Responses 1'!B:J,8,FALSE)</f>
        <v>203W07BJ84</v>
      </c>
      <c r="J228" s="38" t="str">
        <f>VLOOKUP(D228,'Form Responses 1'!B:J,9,FALSE)</f>
        <v>50 L/min</v>
      </c>
      <c r="K228" s="23">
        <v>46111</v>
      </c>
      <c r="L228" s="30" t="s">
        <v>1340</v>
      </c>
      <c r="M228" s="28" t="b">
        <v>1</v>
      </c>
    </row>
    <row r="229" spans="1:13" ht="38.25">
      <c r="A229" s="29">
        <v>132</v>
      </c>
      <c r="B229" s="29" t="s">
        <v>1459</v>
      </c>
      <c r="C229" s="23">
        <v>46112</v>
      </c>
      <c r="D229" s="29" t="s">
        <v>863</v>
      </c>
      <c r="E229" s="38" t="str">
        <f>VLOOKUP(D229,'Form Responses 1'!B:J,2,FALSE)</f>
        <v xml:space="preserve">Jl. Raya Karanganyar-Gombong, Desa Kedungpuji, Kecamatan Gombong, Kabupaten Kebumen </v>
      </c>
      <c r="F229" s="38" t="str">
        <f>VLOOKUP(D229,'Form Responses 1'!B:J,5,FALSE)</f>
        <v>PU BBM</v>
      </c>
      <c r="G229" s="38" t="str">
        <f>VLOOKUP(D229,'Form Responses 1'!B:J,6,FALSE)</f>
        <v xml:space="preserve">TATSUNO </v>
      </c>
      <c r="H229" s="38" t="str">
        <f>VLOOKUP(D229,'Form Responses 1'!B:J,7,FALSE)</f>
        <v>ADAT 2222-HP</v>
      </c>
      <c r="I229" s="38" t="str">
        <f>VLOOKUP(D229,'Form Responses 1'!B:J,8,FALSE)</f>
        <v>AA 048094 95-10</v>
      </c>
      <c r="J229" s="38" t="str">
        <f>VLOOKUP(D229,'Form Responses 1'!B:J,9,FALSE)</f>
        <v>70L/Min</v>
      </c>
      <c r="K229" s="23">
        <v>46112</v>
      </c>
      <c r="L229" s="30" t="s">
        <v>1340</v>
      </c>
      <c r="M229" s="28" t="b">
        <v>1</v>
      </c>
    </row>
    <row r="230" spans="1:13" ht="25.5">
      <c r="A230" s="29">
        <v>133</v>
      </c>
      <c r="B230" s="29" t="s">
        <v>1460</v>
      </c>
      <c r="C230" s="23">
        <v>46111</v>
      </c>
      <c r="D230" s="29" t="s">
        <v>852</v>
      </c>
      <c r="E230" s="38" t="str">
        <f>VLOOKUP(D230,'Form Responses 1'!B:J,2,FALSE)</f>
        <v>Desa Padureso, Kecamatan Padureso, Kabupaten Kebumen</v>
      </c>
      <c r="F230" s="38" t="str">
        <f>VLOOKUP(D230,'Form Responses 1'!B:J,5,FALSE)</f>
        <v>PU BBM</v>
      </c>
      <c r="G230" s="38" t="str">
        <f>VLOOKUP(D230,'Form Responses 1'!B:J,6,FALSE)</f>
        <v>Sanki</v>
      </c>
      <c r="H230" s="38" t="str">
        <f>VLOOKUP(D230,'Form Responses 1'!B:J,7,FALSE)</f>
        <v>SK10ZF111A</v>
      </c>
      <c r="I230" s="38" t="str">
        <f>VLOOKUP(D230,'Form Responses 1'!B:J,8,FALSE)</f>
        <v>1110AW214104</v>
      </c>
      <c r="J230" s="38" t="str">
        <f>VLOOKUP(D230,'Form Responses 1'!B:J,9,FALSE)</f>
        <v>50 L/min</v>
      </c>
      <c r="K230" s="23">
        <v>46111</v>
      </c>
      <c r="L230" s="30" t="s">
        <v>1340</v>
      </c>
      <c r="M230" s="28" t="b">
        <v>1</v>
      </c>
    </row>
    <row r="231" spans="1:13" ht="38.25">
      <c r="A231" s="29">
        <v>134</v>
      </c>
      <c r="B231" s="29" t="s">
        <v>1461</v>
      </c>
      <c r="C231" s="23">
        <v>46112</v>
      </c>
      <c r="D231" s="29" t="s">
        <v>856</v>
      </c>
      <c r="E231" s="38" t="str">
        <f>VLOOKUP(D231,'Form Responses 1'!B:J,2,FALSE)</f>
        <v>Desa Karangsambung, Kecamatan Karangsambung, Kabupaten Kebumen</v>
      </c>
      <c r="F231" s="38" t="str">
        <f>VLOOKUP(D231,'Form Responses 1'!B:J,5,FALSE)</f>
        <v>PU BBM</v>
      </c>
      <c r="G231" s="38" t="str">
        <f>VLOOKUP(D231,'Form Responses 1'!B:J,6,FALSE)</f>
        <v>Korea EnE</v>
      </c>
      <c r="H231" s="38" t="str">
        <f>VLOOKUP(D231,'Form Responses 1'!B:J,7,FALSE)</f>
        <v>DC-1SS</v>
      </c>
      <c r="I231" s="38" t="str">
        <f>VLOOKUP(D231,'Form Responses 1'!B:J,8,FALSE)</f>
        <v>ES-3223</v>
      </c>
      <c r="J231" s="38" t="str">
        <f>VLOOKUP(D231,'Form Responses 1'!B:J,9,FALSE)</f>
        <v>45L/Min</v>
      </c>
      <c r="K231" s="23">
        <v>46112</v>
      </c>
      <c r="L231" s="30" t="s">
        <v>1340</v>
      </c>
      <c r="M231" s="28" t="b">
        <v>1</v>
      </c>
    </row>
    <row r="232" spans="1:13" ht="25.5">
      <c r="A232" s="29">
        <v>135</v>
      </c>
      <c r="B232" s="29" t="s">
        <v>1462</v>
      </c>
      <c r="C232" s="23">
        <v>46112</v>
      </c>
      <c r="D232" s="29" t="s">
        <v>859</v>
      </c>
      <c r="E232" s="38" t="str">
        <f>VLOOKUP(D232,'Form Responses 1'!B:J,2,FALSE)</f>
        <v xml:space="preserve">Desa Buayan, Kecamatan Buayan, Kabupaten Kebumen </v>
      </c>
      <c r="F232" s="38" t="str">
        <f>VLOOKUP(D232,'Form Responses 1'!B:J,5,FALSE)</f>
        <v>PU BBM</v>
      </c>
      <c r="G232" s="38" t="str">
        <f>VLOOKUP(D232,'Form Responses 1'!B:J,6,FALSE)</f>
        <v>Eaglestar</v>
      </c>
      <c r="H232" s="38" t="str">
        <f>VLOOKUP(D232,'Form Responses 1'!B:J,7,FALSE)</f>
        <v>EGXI-IIIV</v>
      </c>
      <c r="I232" s="38">
        <f>VLOOKUP(D232,'Form Responses 1'!B:J,8,FALSE)</f>
        <v>1010210260</v>
      </c>
      <c r="J232" s="38" t="str">
        <f>VLOOKUP(D232,'Form Responses 1'!B:J,9,FALSE)</f>
        <v>50L/Min</v>
      </c>
      <c r="K232" s="23">
        <v>46112</v>
      </c>
      <c r="L232" s="30" t="s">
        <v>1340</v>
      </c>
      <c r="M232" s="28" t="b">
        <v>1</v>
      </c>
    </row>
    <row r="233" spans="1:13" ht="25.5">
      <c r="A233" s="29">
        <v>136</v>
      </c>
      <c r="B233" s="29" t="s">
        <v>1463</v>
      </c>
      <c r="C233" s="23">
        <v>46112</v>
      </c>
      <c r="D233" s="29" t="s">
        <v>861</v>
      </c>
      <c r="E233" s="38" t="str">
        <f>VLOOKUP(D233,'Form Responses 1'!B:J,2,FALSE)</f>
        <v xml:space="preserve">Desa Banyumudal, Kecamatan Buayan, Kabupaten Kebumen </v>
      </c>
      <c r="F233" s="38" t="str">
        <f>VLOOKUP(D233,'Form Responses 1'!B:J,5,FALSE)</f>
        <v>PU BBM</v>
      </c>
      <c r="G233" s="38" t="str">
        <f>VLOOKUP(D233,'Form Responses 1'!B:J,6,FALSE)</f>
        <v>Eaglestar</v>
      </c>
      <c r="H233" s="38" t="str">
        <f>VLOOKUP(D233,'Form Responses 1'!B:J,7,FALSE)</f>
        <v>EGXI-IIIV</v>
      </c>
      <c r="I233" s="38">
        <f>VLOOKUP(D233,'Form Responses 1'!B:J,8,FALSE)</f>
        <v>1010200168</v>
      </c>
      <c r="J233" s="38" t="str">
        <f>VLOOKUP(D233,'Form Responses 1'!B:J,9,FALSE)</f>
        <v>50L/Min</v>
      </c>
      <c r="K233" s="23">
        <v>46112</v>
      </c>
      <c r="L233" s="30" t="s">
        <v>1340</v>
      </c>
      <c r="M233" s="28" t="b">
        <v>1</v>
      </c>
    </row>
    <row r="234" spans="1:13" ht="38.25">
      <c r="A234" s="29">
        <v>137</v>
      </c>
      <c r="B234" s="29" t="s">
        <v>1464</v>
      </c>
      <c r="C234" s="23">
        <v>46114</v>
      </c>
      <c r="D234" s="29" t="s">
        <v>866</v>
      </c>
      <c r="E234" s="38" t="str">
        <f>VLOOKUP(D234,'Form Responses 1'!B:J,2,FALSE)</f>
        <v>Desa Argosari RT 05 RW 01, KecamatanAyah, Kabupaten Kebumen</v>
      </c>
      <c r="F234" s="38" t="str">
        <f>VLOOKUP(D234,'Form Responses 1'!B:J,5,FALSE)</f>
        <v>Timbangan Elektronik</v>
      </c>
      <c r="G234" s="38" t="str">
        <f>VLOOKUP(D234,'Form Responses 1'!B:J,6,FALSE)</f>
        <v>Tora</v>
      </c>
      <c r="H234" s="38" t="str">
        <f>VLOOKUP(D234,'Form Responses 1'!B:J,7,FALSE)</f>
        <v>TR-DS11030</v>
      </c>
      <c r="I234" s="38">
        <f>VLOOKUP(D234,'Form Responses 1'!B:J,8,FALSE)</f>
        <v>1103090092</v>
      </c>
      <c r="J234" s="38" t="str">
        <f>VLOOKUP(D234,'Form Responses 1'!B:J,9,FALSE)</f>
        <v>30 kg / 5 g</v>
      </c>
      <c r="K234" s="23">
        <v>46114</v>
      </c>
      <c r="L234" s="30" t="s">
        <v>1322</v>
      </c>
      <c r="M234" s="28" t="b">
        <v>1</v>
      </c>
    </row>
    <row r="235" spans="1:13" ht="38.25">
      <c r="A235" s="29">
        <v>138</v>
      </c>
      <c r="B235" s="29" t="s">
        <v>1465</v>
      </c>
      <c r="C235" s="23">
        <v>46119</v>
      </c>
      <c r="D235" s="29" t="s">
        <v>871</v>
      </c>
      <c r="E235" s="38" t="str">
        <f>VLOOKUP(D235,'Form Responses 1'!B:J,2,FALSE)</f>
        <v xml:space="preserve">Jl. Sokka Petanahan No.5 Desa Kedawung, Kecamatan Pejagoan, Kabupaten Kebumen </v>
      </c>
      <c r="F235" s="38" t="str">
        <f>VLOOKUP(D235,'Form Responses 1'!B:J,5,FALSE)</f>
        <v>Neraca Obat</v>
      </c>
      <c r="G235" s="38" t="str">
        <f>VLOOKUP(D235,'Form Responses 1'!B:J,6,FALSE)</f>
        <v>Protinal</v>
      </c>
      <c r="H235" s="38" t="str">
        <f>VLOOKUP(D235,'Form Responses 1'!B:J,7,FALSE)</f>
        <v>-</v>
      </c>
      <c r="I235" s="38">
        <f>VLOOKUP(D235,'Form Responses 1'!B:J,8,FALSE)</f>
        <v>10301</v>
      </c>
      <c r="J235" s="38" t="str">
        <f>VLOOKUP(D235,'Form Responses 1'!B:J,9,FALSE)</f>
        <v>50 g / 25 mg</v>
      </c>
      <c r="K235" s="23">
        <v>46114</v>
      </c>
      <c r="L235" s="30" t="s">
        <v>1326</v>
      </c>
      <c r="M235" s="28" t="b">
        <v>1</v>
      </c>
    </row>
    <row r="236" spans="1:13" ht="38.25">
      <c r="A236" s="29">
        <v>139</v>
      </c>
      <c r="B236" s="29" t="s">
        <v>1466</v>
      </c>
      <c r="C236" s="23">
        <v>46121</v>
      </c>
      <c r="D236" s="29" t="s">
        <v>875</v>
      </c>
      <c r="E236" s="38" t="str">
        <f>VLOOKUP(D236,'Form Responses 1'!B:J,2,FALSE)</f>
        <v xml:space="preserve">Jl. Raya Puring-Gombong, Area Sawah, Desa Sitiadi, Kecamatan Puring, Kabupaten Kebumen </v>
      </c>
      <c r="F236" s="38" t="str">
        <f>VLOOKUP(D236,'Form Responses 1'!B:J,5,FALSE)</f>
        <v>Timbangan Elektronik</v>
      </c>
      <c r="G236" s="38" t="str">
        <f>VLOOKUP(D236,'Form Responses 1'!B:J,6,FALSE)</f>
        <v xml:space="preserve">Balanza </v>
      </c>
      <c r="H236" s="38" t="str">
        <f>VLOOKUP(D236,'Form Responses 1'!B:J,7,FALSE)</f>
        <v>BX -1</v>
      </c>
      <c r="I236" s="38">
        <f>VLOOKUP(D236,'Form Responses 1'!B:J,8,FALSE)</f>
        <v>281181</v>
      </c>
      <c r="J236" s="38" t="str">
        <f>VLOOKUP(D236,'Form Responses 1'!B:J,9,FALSE)</f>
        <v>300 kg / 200 g</v>
      </c>
      <c r="K236" s="23">
        <v>46122</v>
      </c>
      <c r="L236" s="30" t="s">
        <v>1326</v>
      </c>
      <c r="M236" s="28" t="b">
        <v>1</v>
      </c>
    </row>
    <row r="237" spans="1:13" ht="38.25">
      <c r="D237" s="29" t="s">
        <v>881</v>
      </c>
      <c r="E237" s="38" t="str">
        <f>VLOOKUP(D237,'Form Responses 1'!B:J,2,FALSE)</f>
        <v xml:space="preserve">Jl. Raya Puring-Gombong, Area Sawah, Desa Sitiadi, Kecamatan Puring, Kabupaten Kebumen </v>
      </c>
      <c r="F237" s="38" t="str">
        <f>VLOOKUP(D237,'Form Responses 1'!B:J,5,FALSE)</f>
        <v>Timbangan Elektronik</v>
      </c>
      <c r="G237" s="38" t="str">
        <f>VLOOKUP(D237,'Form Responses 1'!B:J,6,FALSE)</f>
        <v xml:space="preserve">Balanza </v>
      </c>
      <c r="H237" s="38" t="str">
        <f>VLOOKUP(D237,'Form Responses 1'!B:J,7,FALSE)</f>
        <v>BX-1</v>
      </c>
      <c r="I237" s="38" t="str">
        <f>VLOOKUP(D237,'Form Responses 1'!B:J,8,FALSE)</f>
        <v>HC.YB. 15014</v>
      </c>
      <c r="J237" s="38" t="str">
        <f>VLOOKUP(D237,'Form Responses 1'!B:J,9,FALSE)</f>
        <v>300 kg / 200 g</v>
      </c>
      <c r="K237" s="23">
        <v>46121</v>
      </c>
      <c r="L237" s="30" t="s">
        <v>1326</v>
      </c>
      <c r="M237" s="28" t="b">
        <v>1</v>
      </c>
    </row>
    <row r="238" spans="1:13" ht="38.25">
      <c r="D238" s="29" t="s">
        <v>884</v>
      </c>
      <c r="E238" s="38" t="str">
        <f>VLOOKUP(D238,'Form Responses 1'!B:J,2,FALSE)</f>
        <v xml:space="preserve">Jl. Raya Puring-Gombong, Area Sawah, Desa Sitiadi, Kecamatan Puring, Kabupaten Kebumen </v>
      </c>
      <c r="F238" s="38" t="str">
        <f>VLOOKUP(D238,'Form Responses 1'!B:J,5,FALSE)</f>
        <v>Timbangan Elektronik</v>
      </c>
      <c r="G238" s="38" t="str">
        <f>VLOOKUP(D238,'Form Responses 1'!B:J,6,FALSE)</f>
        <v xml:space="preserve">Mettler Toledo </v>
      </c>
      <c r="H238" s="38" t="str">
        <f>VLOOKUP(D238,'Form Responses 1'!B:J,7,FALSE)</f>
        <v xml:space="preserve">BPA 121 </v>
      </c>
      <c r="I238" s="38">
        <f>VLOOKUP(D238,'Form Responses 1'!B:J,8,FALSE)</f>
        <v>2211</v>
      </c>
      <c r="J238" s="38" t="str">
        <f>VLOOKUP(D238,'Form Responses 1'!B:J,9,FALSE)</f>
        <v>3 kg / 1 g</v>
      </c>
      <c r="K238" s="23">
        <v>46121</v>
      </c>
      <c r="L238" s="30" t="s">
        <v>1326</v>
      </c>
      <c r="M238" s="28" t="b">
        <v>1</v>
      </c>
    </row>
    <row r="239" spans="1:13" ht="38.25">
      <c r="D239" s="29" t="s">
        <v>888</v>
      </c>
      <c r="E239" s="38" t="str">
        <f>VLOOKUP(D239,'Form Responses 1'!B:J,2,FALSE)</f>
        <v xml:space="preserve">Jl. Raya Puring-Gombong, Area Sawah, Desa Sitiadi, Kecamatan Puring, Kabupaten Kebumen </v>
      </c>
      <c r="F239" s="38" t="str">
        <f>VLOOKUP(D239,'Form Responses 1'!B:J,5,FALSE)</f>
        <v>Timbangan Elektronik</v>
      </c>
      <c r="G239" s="38" t="str">
        <f>VLOOKUP(D239,'Form Responses 1'!B:J,6,FALSE)</f>
        <v xml:space="preserve">Jadever </v>
      </c>
      <c r="H239" s="38" t="str">
        <f>VLOOKUP(D239,'Form Responses 1'!B:J,7,FALSE)</f>
        <v>JWP</v>
      </c>
      <c r="I239" s="38" t="str">
        <f>VLOOKUP(D239,'Form Responses 1'!B:J,8,FALSE)</f>
        <v>JWP1523J191</v>
      </c>
      <c r="J239" s="38" t="str">
        <f>VLOOKUP(D239,'Form Responses 1'!B:J,9,FALSE)</f>
        <v>6 kg / 1 g</v>
      </c>
      <c r="K239" s="23">
        <v>46121</v>
      </c>
      <c r="L239" s="30" t="s">
        <v>1326</v>
      </c>
      <c r="M239" s="28" t="b">
        <v>1</v>
      </c>
    </row>
    <row r="240" spans="1:13" ht="38.25">
      <c r="D240" s="29" t="s">
        <v>893</v>
      </c>
      <c r="E240" s="38" t="str">
        <f>VLOOKUP(D240,'Form Responses 1'!B:J,2,FALSE)</f>
        <v xml:space="preserve">Jl. Raya Puring-Gombong, Area Sawah, Desa Sitiadi, Kecamatan Puring, Kabupaten Kebumen </v>
      </c>
      <c r="F240" s="38" t="str">
        <f>VLOOKUP(D240,'Form Responses 1'!B:J,5,FALSE)</f>
        <v>Timbangan Elektronik</v>
      </c>
      <c r="G240" s="38" t="str">
        <f>VLOOKUP(D240,'Form Responses 1'!B:J,6,FALSE)</f>
        <v xml:space="preserve">Jadever </v>
      </c>
      <c r="H240" s="38" t="str">
        <f>VLOOKUP(D240,'Form Responses 1'!B:J,7,FALSE)</f>
        <v xml:space="preserve">JWP </v>
      </c>
      <c r="I240" s="38" t="str">
        <f>VLOOKUP(D240,'Form Responses 1'!B:J,8,FALSE)</f>
        <v>JWP0619H224</v>
      </c>
      <c r="J240" s="38" t="str">
        <f>VLOOKUP(D240,'Form Responses 1'!B:J,9,FALSE)</f>
        <v>6 kg / 1 g</v>
      </c>
      <c r="K240" s="23">
        <v>46121</v>
      </c>
      <c r="L240" s="30" t="s">
        <v>1326</v>
      </c>
      <c r="M240" s="28" t="b">
        <v>1</v>
      </c>
    </row>
    <row r="241" spans="1:13" ht="38.25">
      <c r="D241" s="29" t="s">
        <v>896</v>
      </c>
      <c r="E241" s="38" t="str">
        <f>VLOOKUP(D241,'Form Responses 1'!B:J,2,FALSE)</f>
        <v xml:space="preserve">Jl. Raya Puring-Gombong, Area Sawah, Desa Sitiadi, Kecamatan Puring, Kabupaten Kebumen </v>
      </c>
      <c r="F241" s="38" t="str">
        <f>VLOOKUP(D241,'Form Responses 1'!B:J,5,FALSE)</f>
        <v>Timbangan Elektronik</v>
      </c>
      <c r="G241" s="38" t="str">
        <f>VLOOKUP(D241,'Form Responses 1'!B:J,6,FALSE)</f>
        <v xml:space="preserve">Jadever </v>
      </c>
      <c r="H241" s="38" t="str">
        <f>VLOOKUP(D241,'Form Responses 1'!B:J,7,FALSE)</f>
        <v xml:space="preserve">JWP </v>
      </c>
      <c r="I241" s="38">
        <f>VLOOKUP(D241,'Form Responses 1'!B:J,8,FALSE)</f>
        <v>91090442</v>
      </c>
      <c r="J241" s="38" t="str">
        <f>VLOOKUP(D241,'Form Responses 1'!B:J,9,FALSE)</f>
        <v>6 kg / 1 g</v>
      </c>
      <c r="K241" s="23">
        <v>46121</v>
      </c>
      <c r="L241" s="30" t="s">
        <v>1326</v>
      </c>
      <c r="M241" s="28" t="b">
        <v>1</v>
      </c>
    </row>
    <row r="242" spans="1:13" ht="38.25">
      <c r="D242" s="29" t="s">
        <v>897</v>
      </c>
      <c r="E242" s="38" t="str">
        <f>VLOOKUP(D242,'Form Responses 1'!B:J,2,FALSE)</f>
        <v xml:space="preserve">Jl. Raya Puring-Gombong, Area Sawah, Desa Sitiadi, Kecamatan Puring, Kabupaten Kebumen </v>
      </c>
      <c r="F242" s="38" t="str">
        <f>VLOOKUP(D242,'Form Responses 1'!B:J,5,FALSE)</f>
        <v>Timbangan Elektronik</v>
      </c>
      <c r="G242" s="38" t="str">
        <f>VLOOKUP(D242,'Form Responses 1'!B:J,6,FALSE)</f>
        <v xml:space="preserve">Jadever </v>
      </c>
      <c r="H242" s="38" t="str">
        <f>VLOOKUP(D242,'Form Responses 1'!B:J,7,FALSE)</f>
        <v>JWP</v>
      </c>
      <c r="I242" s="38">
        <f>VLOOKUP(D242,'Form Responses 1'!B:J,8,FALSE)</f>
        <v>91090441</v>
      </c>
      <c r="J242" s="38" t="str">
        <f>VLOOKUP(D242,'Form Responses 1'!B:J,9,FALSE)</f>
        <v>6 kg / 1 g</v>
      </c>
      <c r="K242" s="23">
        <v>46121</v>
      </c>
      <c r="L242" s="30" t="s">
        <v>1326</v>
      </c>
      <c r="M242" s="28" t="b">
        <v>1</v>
      </c>
    </row>
    <row r="243" spans="1:13" ht="38.25">
      <c r="D243" s="29" t="s">
        <v>898</v>
      </c>
      <c r="E243" s="38" t="str">
        <f>VLOOKUP(D243,'Form Responses 1'!B:J,2,FALSE)</f>
        <v xml:space="preserve">Jl. Raya Puring-Gombong, Area Sawah, Desa Sitiadi, Kecamatan Puring, Kabupaten Kebumen </v>
      </c>
      <c r="F243" s="38" t="str">
        <f>VLOOKUP(D243,'Form Responses 1'!B:J,5,FALSE)</f>
        <v>Timbangan Elektronik</v>
      </c>
      <c r="G243" s="38" t="str">
        <f>VLOOKUP(D243,'Form Responses 1'!B:J,6,FALSE)</f>
        <v xml:space="preserve">Jadever </v>
      </c>
      <c r="H243" s="38" t="str">
        <f>VLOOKUP(D243,'Form Responses 1'!B:J,7,FALSE)</f>
        <v>JWP</v>
      </c>
      <c r="I243" s="38" t="str">
        <f>VLOOKUP(D243,'Form Responses 1'!B:J,8,FALSE)</f>
        <v>JWP1523J180</v>
      </c>
      <c r="J243" s="38" t="str">
        <f>VLOOKUP(D243,'Form Responses 1'!B:J,9,FALSE)</f>
        <v>6bkg / 1 g</v>
      </c>
      <c r="K243" s="23">
        <v>46121</v>
      </c>
      <c r="L243" s="30" t="s">
        <v>1326</v>
      </c>
      <c r="M243" s="28" t="b">
        <v>1</v>
      </c>
    </row>
    <row r="244" spans="1:13" ht="38.25">
      <c r="D244" s="29" t="s">
        <v>901</v>
      </c>
      <c r="E244" s="38" t="str">
        <f>VLOOKUP(D244,'Form Responses 1'!B:J,2,FALSE)</f>
        <v xml:space="preserve">Jl. Raya Puring-Gombong, Area Sawah, Desa Sitiadi, Kecamatan Puring, Kabupaten Kebumen </v>
      </c>
      <c r="F244" s="38" t="str">
        <f>VLOOKUP(D244,'Form Responses 1'!B:J,5,FALSE)</f>
        <v>Timbangan Elektronik</v>
      </c>
      <c r="G244" s="38" t="str">
        <f>VLOOKUP(D244,'Form Responses 1'!B:J,6,FALSE)</f>
        <v xml:space="preserve">Jadever </v>
      </c>
      <c r="H244" s="38" t="str">
        <f>VLOOKUP(D244,'Form Responses 1'!B:J,7,FALSE)</f>
        <v>JWP</v>
      </c>
      <c r="I244" s="38">
        <f>VLOOKUP(D244,'Form Responses 1'!B:J,8,FALSE)</f>
        <v>91090443</v>
      </c>
      <c r="J244" s="38" t="str">
        <f>VLOOKUP(D244,'Form Responses 1'!B:J,9,FALSE)</f>
        <v>6 kg / 1 g</v>
      </c>
      <c r="K244" s="23">
        <v>46121</v>
      </c>
      <c r="L244" s="30" t="s">
        <v>1326</v>
      </c>
      <c r="M244" s="28" t="b">
        <v>1</v>
      </c>
    </row>
    <row r="245" spans="1:13" ht="38.25">
      <c r="D245" s="29" t="s">
        <v>902</v>
      </c>
      <c r="E245" s="38" t="str">
        <f>VLOOKUP(D245,'Form Responses 1'!B:J,2,FALSE)</f>
        <v xml:space="preserve">Jl. Raya Puring-Gombong, Area Sawah, Desa Sitiadi, Kecamatan Puring, Kabupaten Kebumen </v>
      </c>
      <c r="F245" s="38" t="str">
        <f>VLOOKUP(D245,'Form Responses 1'!B:J,5,FALSE)</f>
        <v>Timbangan Elektronik</v>
      </c>
      <c r="G245" s="38" t="str">
        <f>VLOOKUP(D245,'Form Responses 1'!B:J,6,FALSE)</f>
        <v xml:space="preserve">Jadever </v>
      </c>
      <c r="H245" s="38" t="str">
        <f>VLOOKUP(D245,'Form Responses 1'!B:J,7,FALSE)</f>
        <v>JWP</v>
      </c>
      <c r="I245" s="38" t="str">
        <f>VLOOKUP(D245,'Form Responses 1'!B:J,8,FALSE)</f>
        <v>JWP21090155</v>
      </c>
      <c r="J245" s="38" t="str">
        <f>VLOOKUP(D245,'Form Responses 1'!B:J,9,FALSE)</f>
        <v>6 kg / 1 g</v>
      </c>
      <c r="K245" s="23">
        <v>46121</v>
      </c>
      <c r="L245" s="30" t="s">
        <v>1326</v>
      </c>
      <c r="M245" s="28" t="b">
        <v>1</v>
      </c>
    </row>
    <row r="246" spans="1:13" ht="38.25">
      <c r="D246" s="29" t="s">
        <v>904</v>
      </c>
      <c r="E246" s="38" t="str">
        <f>VLOOKUP(D246,'Form Responses 1'!B:J,2,FALSE)</f>
        <v xml:space="preserve">Jl. Raya Puring-Gombong, Area Sawah, Desa Sitiadi, Kecamatan Puring, Kabupaten Kebumen </v>
      </c>
      <c r="F246" s="38" t="str">
        <f>VLOOKUP(D246,'Form Responses 1'!B:J,5,FALSE)</f>
        <v>Timbangan Elektronik</v>
      </c>
      <c r="G246" s="38" t="str">
        <f>VLOOKUP(D246,'Form Responses 1'!B:J,6,FALSE)</f>
        <v xml:space="preserve">Jadever </v>
      </c>
      <c r="H246" s="38" t="str">
        <f>VLOOKUP(D246,'Form Responses 1'!B:J,7,FALSE)</f>
        <v>JWP</v>
      </c>
      <c r="I246" s="38">
        <f>VLOOKUP(D246,'Form Responses 1'!B:J,8,FALSE)</f>
        <v>91040009</v>
      </c>
      <c r="J246" s="38" t="str">
        <f>VLOOKUP(D246,'Form Responses 1'!B:J,9,FALSE)</f>
        <v>6 kg / 1 g</v>
      </c>
      <c r="K246" s="23">
        <v>46121</v>
      </c>
      <c r="L246" s="30" t="s">
        <v>1326</v>
      </c>
      <c r="M246" s="28" t="b">
        <v>1</v>
      </c>
    </row>
    <row r="247" spans="1:13" ht="38.25">
      <c r="D247" s="29" t="s">
        <v>905</v>
      </c>
      <c r="E247" s="38" t="str">
        <f>VLOOKUP(D247,'Form Responses 1'!B:J,2,FALSE)</f>
        <v xml:space="preserve">Jl. Raya Puring-Gombong, Area Sawah, Desa Sitiadi, Kecamatan Puring, Kabupaten Kebumen </v>
      </c>
      <c r="F247" s="38" t="str">
        <f>VLOOKUP(D247,'Form Responses 1'!B:J,5,FALSE)</f>
        <v>Timbangan Elektronik</v>
      </c>
      <c r="G247" s="38" t="str">
        <f>VLOOKUP(D247,'Form Responses 1'!B:J,6,FALSE)</f>
        <v xml:space="preserve">Jadever </v>
      </c>
      <c r="H247" s="38" t="str">
        <f>VLOOKUP(D247,'Form Responses 1'!B:J,7,FALSE)</f>
        <v>JWP</v>
      </c>
      <c r="I247" s="38" t="str">
        <f>VLOOKUP(D247,'Form Responses 1'!B:J,8,FALSE)</f>
        <v>JWP2201319</v>
      </c>
      <c r="J247" s="38" t="str">
        <f>VLOOKUP(D247,'Form Responses 1'!B:J,9,FALSE)</f>
        <v>6 kg / 1 g</v>
      </c>
      <c r="K247" s="23">
        <v>46121</v>
      </c>
      <c r="L247" s="30" t="s">
        <v>1326</v>
      </c>
      <c r="M247" s="28" t="b">
        <v>1</v>
      </c>
    </row>
    <row r="248" spans="1:13" ht="38.25">
      <c r="D248" s="29" t="s">
        <v>907</v>
      </c>
      <c r="E248" s="38" t="str">
        <f>VLOOKUP(D248,'Form Responses 1'!B:J,2,FALSE)</f>
        <v xml:space="preserve">Jl. Raya Puring-Gombong, Area Sawah, Desa Sitiadi, Kecamatan Puring, Kabupaten Kebumen </v>
      </c>
      <c r="F248" s="38" t="str">
        <f>VLOOKUP(D248,'Form Responses 1'!B:J,5,FALSE)</f>
        <v>Timbangan Elektronik</v>
      </c>
      <c r="G248" s="38" t="str">
        <f>VLOOKUP(D248,'Form Responses 1'!B:J,6,FALSE)</f>
        <v xml:space="preserve">Jadever </v>
      </c>
      <c r="H248" s="38" t="str">
        <f>VLOOKUP(D248,'Form Responses 1'!B:J,7,FALSE)</f>
        <v>JWP</v>
      </c>
      <c r="I248" s="38" t="str">
        <f>VLOOKUP(D248,'Form Responses 1'!B:J,8,FALSE)</f>
        <v>015000023</v>
      </c>
      <c r="J248" s="38" t="str">
        <f>VLOOKUP(D248,'Form Responses 1'!B:J,9,FALSE)</f>
        <v>6 kg / 1 g</v>
      </c>
      <c r="K248" s="23">
        <v>46121</v>
      </c>
      <c r="L248" s="30" t="s">
        <v>1326</v>
      </c>
      <c r="M248" s="28" t="b">
        <v>1</v>
      </c>
    </row>
    <row r="249" spans="1:13" ht="38.25">
      <c r="D249" s="29" t="s">
        <v>909</v>
      </c>
      <c r="E249" s="38" t="str">
        <f>VLOOKUP(D249,'Form Responses 1'!B:J,2,FALSE)</f>
        <v xml:space="preserve">Jl. Raya Puring-Gombong, Area Sawah, Desa Sitiadi, Kecamatan Puring, Kabupaten Kebumen </v>
      </c>
      <c r="F249" s="38" t="str">
        <f>VLOOKUP(D249,'Form Responses 1'!B:J,5,FALSE)</f>
        <v>Timbangan Elektronik</v>
      </c>
      <c r="G249" s="38" t="str">
        <f>VLOOKUP(D249,'Form Responses 1'!B:J,6,FALSE)</f>
        <v xml:space="preserve">Jadever </v>
      </c>
      <c r="H249" s="38" t="str">
        <f>VLOOKUP(D249,'Form Responses 1'!B:J,7,FALSE)</f>
        <v>JWP</v>
      </c>
      <c r="I249" s="38" t="str">
        <f>VLOOKUP(D249,'Form Responses 1'!B:J,8,FALSE)</f>
        <v>JWP0619H172</v>
      </c>
      <c r="J249" s="38" t="str">
        <f>VLOOKUP(D249,'Form Responses 1'!B:J,9,FALSE)</f>
        <v>6 kg / 1 g</v>
      </c>
      <c r="K249" s="23">
        <v>46121</v>
      </c>
      <c r="L249" s="30" t="s">
        <v>1326</v>
      </c>
      <c r="M249" s="28" t="b">
        <v>1</v>
      </c>
    </row>
    <row r="250" spans="1:13" ht="38.25">
      <c r="A250" s="29">
        <v>140</v>
      </c>
      <c r="B250" s="29" t="s">
        <v>1467</v>
      </c>
      <c r="C250" s="23">
        <v>46122</v>
      </c>
      <c r="D250" s="29" t="s">
        <v>911</v>
      </c>
      <c r="E250" s="38" t="str">
        <f>VLOOKUP(D250,'Form Responses 1'!B:J,2,FALSE)</f>
        <v>Desa Geblug RT 01 RW 03, Kecamatan Buayan, Kabupaten Kebumen</v>
      </c>
      <c r="F250" s="38" t="str">
        <f>VLOOKUP(D250,'Form Responses 1'!B:J,5,FALSE)</f>
        <v>Timbangan Elektronik</v>
      </c>
      <c r="G250" s="38" t="str">
        <f>VLOOKUP(D250,'Form Responses 1'!B:J,6,FALSE)</f>
        <v>FRT</v>
      </c>
      <c r="H250" s="38" t="str">
        <f>VLOOKUP(D250,'Form Responses 1'!B:J,7,FALSE)</f>
        <v>TCS-B1</v>
      </c>
      <c r="I250" s="38">
        <f>VLOOKUP(D250,'Form Responses 1'!B:J,8,FALSE)</f>
        <v>60170066</v>
      </c>
      <c r="J250" s="38" t="str">
        <f>VLOOKUP(D250,'Form Responses 1'!B:J,9,FALSE)</f>
        <v>150 kg / 50 g</v>
      </c>
      <c r="K250" s="23">
        <v>46121</v>
      </c>
      <c r="L250" s="30" t="s">
        <v>1326</v>
      </c>
      <c r="M250" s="28" t="b">
        <v>1</v>
      </c>
    </row>
    <row r="251" spans="1:13" ht="38.25">
      <c r="A251" s="29">
        <v>141</v>
      </c>
      <c r="B251" s="29" t="s">
        <v>1468</v>
      </c>
      <c r="C251" s="23">
        <v>46122</v>
      </c>
      <c r="D251" s="29" t="s">
        <v>917</v>
      </c>
      <c r="E251" s="38" t="str">
        <f>VLOOKUP(D251,'Form Responses 1'!B:J,2,FALSE)</f>
        <v>Dukuh Londeng RT 01 RW 08, Desa Jladri, Kecamatan Buayan, Kabupaten Kebumen</v>
      </c>
      <c r="F251" s="38" t="str">
        <f>VLOOKUP(D251,'Form Responses 1'!B:J,5,FALSE)</f>
        <v>Timbangan Elektronik</v>
      </c>
      <c r="G251" s="38" t="str">
        <f>VLOOKUP(D251,'Form Responses 1'!B:J,6,FALSE)</f>
        <v>Fortuno</v>
      </c>
      <c r="H251" s="38" t="str">
        <f>VLOOKUP(D251,'Form Responses 1'!B:J,7,FALSE)</f>
        <v>JKS 150</v>
      </c>
      <c r="I251" s="38" t="str">
        <f>VLOOKUP(D251,'Form Responses 1'!B:J,8,FALSE)</f>
        <v>JKSC1707883</v>
      </c>
      <c r="J251" s="38" t="str">
        <f>VLOOKUP(D251,'Form Responses 1'!B:J,9,FALSE)</f>
        <v>150 kg / 10 g</v>
      </c>
      <c r="K251" s="23">
        <v>46122</v>
      </c>
      <c r="L251" s="30" t="s">
        <v>1326</v>
      </c>
      <c r="M251" s="28" t="b">
        <v>1</v>
      </c>
    </row>
    <row r="252" spans="1:13" ht="38.25">
      <c r="A252" s="29">
        <v>142</v>
      </c>
      <c r="B252" s="29" t="s">
        <v>1469</v>
      </c>
      <c r="C252" s="23">
        <v>46122</v>
      </c>
      <c r="D252" s="29" t="s">
        <v>923</v>
      </c>
      <c r="E252" s="38" t="str">
        <f>VLOOKUP(D252,'Form Responses 1'!B:J,2,FALSE)</f>
        <v xml:space="preserve">Dukuh Londeng RT 01 RW 08, Desa Jladri, Kecamatan Buayan, Kabupaten Kebumen </v>
      </c>
      <c r="F252" s="38" t="str">
        <f>VLOOKUP(D252,'Form Responses 1'!B:J,5,FALSE)</f>
        <v>Timbangan Elektronik</v>
      </c>
      <c r="G252" s="38" t="str">
        <f>VLOOKUP(D252,'Form Responses 1'!B:J,6,FALSE)</f>
        <v>Digitech</v>
      </c>
      <c r="H252" s="38" t="str">
        <f>VLOOKUP(D252,'Form Responses 1'!B:J,7,FALSE)</f>
        <v xml:space="preserve">DB-IS </v>
      </c>
      <c r="I252" s="38">
        <f>VLOOKUP(D252,'Form Responses 1'!B:J,8,FALSE)</f>
        <v>1712010101</v>
      </c>
      <c r="J252" s="38" t="str">
        <f>VLOOKUP(D252,'Form Responses 1'!B:J,9,FALSE)</f>
        <v>150 kg / 10 g</v>
      </c>
      <c r="K252" s="23">
        <v>46122</v>
      </c>
      <c r="L252" s="30" t="s">
        <v>1326</v>
      </c>
      <c r="M252" s="28" t="b">
        <v>1</v>
      </c>
    </row>
    <row r="253" spans="1:13" ht="38.25">
      <c r="A253" s="29">
        <v>143</v>
      </c>
      <c r="B253" s="29" t="s">
        <v>1470</v>
      </c>
      <c r="C253" s="23">
        <v>46126</v>
      </c>
      <c r="D253" s="29" t="s">
        <v>929</v>
      </c>
      <c r="E253" s="38" t="str">
        <f>VLOOKUP(D253,'Form Responses 1'!B:J,2,FALSE)</f>
        <v>Jalan Kejayan Desa Bocor, Kecamatan Buluspesantren, Kabupaten Kebumen</v>
      </c>
      <c r="F253" s="38" t="str">
        <f>VLOOKUP(D253,'Form Responses 1'!B:J,5,FALSE)</f>
        <v>Timbangan Elektronik</v>
      </c>
      <c r="G253" s="38" t="str">
        <f>VLOOKUP(D253,'Form Responses 1'!B:J,6,FALSE)</f>
        <v>ACIS</v>
      </c>
      <c r="H253" s="38" t="str">
        <f>VLOOKUP(D253,'Form Responses 1'!B:J,7,FALSE)</f>
        <v>BC-500</v>
      </c>
      <c r="I253" s="38" t="str">
        <f>VLOOKUP(D253,'Form Responses 1'!B:J,8,FALSE)</f>
        <v>E250703042</v>
      </c>
      <c r="J253" s="38" t="str">
        <f>VLOOKUP(D253,'Form Responses 1'!B:J,9,FALSE)</f>
        <v>500 g / 0,1 g</v>
      </c>
      <c r="K253" s="23">
        <v>46126</v>
      </c>
      <c r="L253" s="30" t="s">
        <v>1326</v>
      </c>
      <c r="M253" s="28" t="b">
        <v>1</v>
      </c>
    </row>
    <row r="254" spans="1:13" ht="38.25">
      <c r="A254" s="29">
        <v>144</v>
      </c>
      <c r="B254" s="29" t="s">
        <v>1471</v>
      </c>
      <c r="C254" s="23">
        <v>46126</v>
      </c>
      <c r="D254" s="29" t="s">
        <v>934</v>
      </c>
      <c r="E254" s="38" t="str">
        <f>VLOOKUP(D254,'Form Responses 1'!B:J,2,FALSE)</f>
        <v>Jl. Pantai Logending Desa Ayah RT 02 RW 02, Kecamatan Ayah, Kabupaten Kebumen</v>
      </c>
      <c r="F254" s="38" t="str">
        <f>VLOOKUP(D254,'Form Responses 1'!B:J,5,FALSE)</f>
        <v>Timbangan Elektronik</v>
      </c>
      <c r="G254" s="38" t="str">
        <f>VLOOKUP(D254,'Form Responses 1'!B:J,6,FALSE)</f>
        <v>Acis</v>
      </c>
      <c r="H254" s="38" t="str">
        <f>VLOOKUP(D254,'Form Responses 1'!B:J,7,FALSE)</f>
        <v>BC -500</v>
      </c>
      <c r="I254" s="38" t="str">
        <f>VLOOKUP(D254,'Form Responses 1'!B:J,8,FALSE)</f>
        <v>E250703078</v>
      </c>
      <c r="J254" s="38" t="str">
        <f>VLOOKUP(D254,'Form Responses 1'!B:J,9,FALSE)</f>
        <v>500 g / 0,1 g</v>
      </c>
      <c r="K254" s="23">
        <v>46126</v>
      </c>
      <c r="L254" s="30" t="s">
        <v>1326</v>
      </c>
      <c r="M254" s="28" t="b">
        <v>1</v>
      </c>
    </row>
    <row r="255" spans="1:13" ht="38.25">
      <c r="A255" s="29">
        <v>145</v>
      </c>
      <c r="B255" s="29" t="s">
        <v>1472</v>
      </c>
      <c r="C255" s="23">
        <v>46126</v>
      </c>
      <c r="D255" s="29" t="s">
        <v>940</v>
      </c>
      <c r="E255" s="38" t="str">
        <f>VLOOKUP(D255,'Form Responses 1'!B:J,2,FALSE)</f>
        <v>Desa Candirenggo RT 04 RW 05, Kecamatan Ayah, Kabupaten Kebumen</v>
      </c>
      <c r="F255" s="38" t="str">
        <f>VLOOKUP(D255,'Form Responses 1'!B:J,5,FALSE)</f>
        <v>Timbangan Elektronik</v>
      </c>
      <c r="G255" s="38" t="str">
        <f>VLOOKUP(D255,'Form Responses 1'!B:J,6,FALSE)</f>
        <v>Digitech</v>
      </c>
      <c r="H255" s="38" t="str">
        <f>VLOOKUP(D255,'Form Responses 1'!B:J,7,FALSE)</f>
        <v>DB-1S</v>
      </c>
      <c r="I255" s="38" t="str">
        <f>VLOOKUP(D255,'Form Responses 1'!B:J,8,FALSE)</f>
        <v>1803110DE7</v>
      </c>
      <c r="J255" s="38" t="str">
        <f>VLOOKUP(D255,'Form Responses 1'!B:J,9,FALSE)</f>
        <v>80 kg / 20 g</v>
      </c>
      <c r="K255" s="23">
        <v>46126</v>
      </c>
      <c r="L255" s="30" t="s">
        <v>1326</v>
      </c>
      <c r="M255" s="28" t="b">
        <v>1</v>
      </c>
    </row>
    <row r="256" spans="1:13" ht="38.25">
      <c r="A256" s="29">
        <v>146</v>
      </c>
      <c r="B256" s="29" t="s">
        <v>1473</v>
      </c>
      <c r="C256" s="23">
        <v>46126</v>
      </c>
      <c r="D256" s="29" t="s">
        <v>945</v>
      </c>
      <c r="E256" s="38" t="str">
        <f>VLOOKUP(D256,'Form Responses 1'!B:J,2,FALSE)</f>
        <v>Desa Karangduwur RT 05 RW 01, Kecamatan Ayah, Kabupaten Kebumen</v>
      </c>
      <c r="F256" s="38" t="str">
        <f>VLOOKUP(D256,'Form Responses 1'!B:J,5,FALSE)</f>
        <v>Timbangan Elektronik</v>
      </c>
      <c r="G256" s="38" t="str">
        <f>VLOOKUP(D256,'Form Responses 1'!B:J,6,FALSE)</f>
        <v>Furano</v>
      </c>
      <c r="H256" s="38" t="str">
        <f>VLOOKUP(D256,'Form Responses 1'!B:J,7,FALSE)</f>
        <v>JKS</v>
      </c>
      <c r="I256" s="38" t="str">
        <f>VLOOKUP(D256,'Form Responses 1'!B:J,8,FALSE)</f>
        <v>JKSC18071342</v>
      </c>
      <c r="J256" s="38" t="str">
        <f>VLOOKUP(D256,'Form Responses 1'!B:J,9,FALSE)</f>
        <v>150 kg / 10 g</v>
      </c>
      <c r="K256" s="23">
        <v>46126</v>
      </c>
      <c r="L256" s="30" t="s">
        <v>1326</v>
      </c>
      <c r="M256" s="28" t="b">
        <v>1</v>
      </c>
    </row>
    <row r="257" spans="1:13" ht="38.25">
      <c r="A257" s="29">
        <v>147</v>
      </c>
      <c r="B257" s="29" t="s">
        <v>1474</v>
      </c>
      <c r="C257" s="23">
        <v>46126</v>
      </c>
      <c r="D257" s="29" t="s">
        <v>949</v>
      </c>
      <c r="E257" s="38" t="str">
        <f>VLOOKUP(D257,'Form Responses 1'!B:J,2,FALSE)</f>
        <v>Desa Kalipoh RT 05 RW 03, Kecamatan Ayah, Kabupaten Kebumen</v>
      </c>
      <c r="F257" s="38" t="str">
        <f>VLOOKUP(D257,'Form Responses 1'!B:J,5,FALSE)</f>
        <v>Timbangan Elektronik</v>
      </c>
      <c r="G257" s="38" t="str">
        <f>VLOOKUP(D257,'Form Responses 1'!B:J,6,FALSE)</f>
        <v>Digitech</v>
      </c>
      <c r="H257" s="38" t="str">
        <f>VLOOKUP(D257,'Form Responses 1'!B:J,7,FALSE)</f>
        <v>DB-1S</v>
      </c>
      <c r="I257" s="38" t="str">
        <f>VLOOKUP(D257,'Form Responses 1'!B:J,8,FALSE)</f>
        <v>-</v>
      </c>
      <c r="J257" s="38" t="str">
        <f>VLOOKUP(D257,'Form Responses 1'!B:J,9,FALSE)</f>
        <v>150 kg / 10 g</v>
      </c>
      <c r="K257" s="23">
        <v>46126</v>
      </c>
      <c r="L257" s="30" t="s">
        <v>1326</v>
      </c>
      <c r="M257" s="28" t="b">
        <v>1</v>
      </c>
    </row>
    <row r="258" spans="1:13" ht="38.25">
      <c r="A258" s="29">
        <v>148</v>
      </c>
      <c r="B258" s="29" t="s">
        <v>1475</v>
      </c>
      <c r="C258" s="23">
        <v>46126</v>
      </c>
      <c r="D258" s="29" t="s">
        <v>951</v>
      </c>
      <c r="E258" s="38" t="str">
        <f>VLOOKUP(D258,'Form Responses 1'!B:J,2,FALSE)</f>
        <v>Dukuh Ranceban, Desa Kalipoh RT 04 RW 02, Kecamatan Ayah, Kabupaten Kebumen</v>
      </c>
      <c r="F258" s="38" t="str">
        <f>VLOOKUP(D258,'Form Responses 1'!B:J,5,FALSE)</f>
        <v>Timbangan Elektronik</v>
      </c>
      <c r="G258" s="38" t="str">
        <f>VLOOKUP(D258,'Form Responses 1'!B:J,6,FALSE)</f>
        <v>Digitech</v>
      </c>
      <c r="H258" s="38" t="str">
        <f>VLOOKUP(D258,'Form Responses 1'!B:J,7,FALSE)</f>
        <v>DB-1S</v>
      </c>
      <c r="I258" s="38" t="str">
        <f>VLOOKUP(D258,'Form Responses 1'!B:J,8,FALSE)</f>
        <v>-</v>
      </c>
      <c r="J258" s="38" t="str">
        <f>VLOOKUP(D258,'Form Responses 1'!B:J,9,FALSE)</f>
        <v>150 kg / 10 g</v>
      </c>
      <c r="K258" s="23">
        <v>46126</v>
      </c>
      <c r="L258" s="30" t="s">
        <v>1326</v>
      </c>
      <c r="M258" s="28" t="b">
        <v>1</v>
      </c>
    </row>
    <row r="259" spans="1:13" ht="38.25">
      <c r="A259" s="29">
        <v>149</v>
      </c>
      <c r="B259" s="29" t="s">
        <v>1476</v>
      </c>
      <c r="C259" s="23">
        <v>46126</v>
      </c>
      <c r="D259" s="29" t="s">
        <v>953</v>
      </c>
      <c r="E259" s="38" t="str">
        <f>VLOOKUP(D259,'Form Responses 1'!B:J,2,FALSE)</f>
        <v>Dukuh Kaligalang, Desa Tlogosari RT 04 RW 05, Kecamatan Ayah, Kabupaten Kebumen</v>
      </c>
      <c r="F259" s="38" t="str">
        <f>VLOOKUP(D259,'Form Responses 1'!B:J,5,FALSE)</f>
        <v>Timbangan Elektronik</v>
      </c>
      <c r="G259" s="38" t="str">
        <f>VLOOKUP(D259,'Form Responses 1'!B:J,6,FALSE)</f>
        <v>Virtus</v>
      </c>
      <c r="H259" s="38" t="str">
        <f>VLOOKUP(D259,'Form Responses 1'!B:J,7,FALSE)</f>
        <v>YMK-150</v>
      </c>
      <c r="I259" s="38" t="str">
        <f>VLOOKUP(D259,'Form Responses 1'!B:J,8,FALSE)</f>
        <v>YMKSS2206143</v>
      </c>
      <c r="J259" s="38" t="str">
        <f>VLOOKUP(D259,'Form Responses 1'!B:J,9,FALSE)</f>
        <v>150 kg / 10 g</v>
      </c>
      <c r="K259" s="23">
        <v>46126</v>
      </c>
      <c r="L259" s="30" t="s">
        <v>1326</v>
      </c>
      <c r="M259" s="28" t="b">
        <v>1</v>
      </c>
    </row>
    <row r="260" spans="1:13" ht="38.25">
      <c r="A260" s="29">
        <v>150</v>
      </c>
      <c r="B260" s="29" t="s">
        <v>1477</v>
      </c>
      <c r="C260" s="23">
        <v>46126</v>
      </c>
      <c r="D260" s="29" t="s">
        <v>958</v>
      </c>
      <c r="E260" s="38" t="str">
        <f>VLOOKUP(D260,'Form Responses 1'!B:J,2,FALSE)</f>
        <v>DUkuh Sari, Desa Argosari RT 02 RW 02, Kecamatana Ayah, Kabupaten Kebumen</v>
      </c>
      <c r="F260" s="38" t="str">
        <f>VLOOKUP(D260,'Form Responses 1'!B:J,5,FALSE)</f>
        <v>Timbangan Elektronik</v>
      </c>
      <c r="G260" s="38" t="str">
        <f>VLOOKUP(D260,'Form Responses 1'!B:J,6,FALSE)</f>
        <v>Digitech</v>
      </c>
      <c r="H260" s="38" t="str">
        <f>VLOOKUP(D260,'Form Responses 1'!B:J,7,FALSE)</f>
        <v>DB-1S</v>
      </c>
      <c r="I260" s="38" t="str">
        <f>VLOOKUP(D260,'Form Responses 1'!B:J,8,FALSE)</f>
        <v>15012295AO</v>
      </c>
      <c r="J260" s="38" t="str">
        <f>VLOOKUP(D260,'Form Responses 1'!B:J,9,FALSE)</f>
        <v>150 kg / 10 g</v>
      </c>
      <c r="K260" s="23">
        <v>46126</v>
      </c>
      <c r="L260" s="30" t="s">
        <v>1326</v>
      </c>
      <c r="M260" s="28" t="b">
        <v>1</v>
      </c>
    </row>
    <row r="261" spans="1:13" ht="51">
      <c r="A261" s="29">
        <v>151</v>
      </c>
      <c r="B261" s="29" t="s">
        <v>1478</v>
      </c>
      <c r="C261" s="23">
        <v>46126</v>
      </c>
      <c r="D261" s="29" t="s">
        <v>961</v>
      </c>
      <c r="E261" s="38" t="str">
        <f>VLOOKUP(D261,'Form Responses 1'!B:J,2,FALSE)</f>
        <v>Dukuh Karanggedang, Desa Candirenggo RT 05 RW 05, Kecamatan Ayah, Kabupaten Kebumen</v>
      </c>
      <c r="F261" s="38" t="str">
        <f>VLOOKUP(D261,'Form Responses 1'!B:J,5,FALSE)</f>
        <v>Timbangan Elektronik</v>
      </c>
      <c r="G261" s="38" t="str">
        <f>VLOOKUP(D261,'Form Responses 1'!B:J,6,FALSE)</f>
        <v>Furano</v>
      </c>
      <c r="H261" s="38" t="str">
        <f>VLOOKUP(D261,'Form Responses 1'!B:J,7,FALSE)</f>
        <v>JKS</v>
      </c>
      <c r="I261" s="38" t="str">
        <f>VLOOKUP(D261,'Form Responses 1'!B:J,8,FALSE)</f>
        <v>JKSC2205267</v>
      </c>
      <c r="J261" s="38" t="str">
        <f>VLOOKUP(D261,'Form Responses 1'!B:J,9,FALSE)</f>
        <v>150 kg / 10 g</v>
      </c>
      <c r="K261" s="23">
        <v>46126</v>
      </c>
      <c r="L261" s="30" t="s">
        <v>1326</v>
      </c>
      <c r="M261" s="28" t="b">
        <v>1</v>
      </c>
    </row>
    <row r="262" spans="1:13" ht="51">
      <c r="A262" s="29">
        <v>152</v>
      </c>
      <c r="B262" s="29" t="s">
        <v>1479</v>
      </c>
      <c r="C262" s="23">
        <v>46127</v>
      </c>
      <c r="D262" s="29" t="s">
        <v>964</v>
      </c>
      <c r="E262" s="38" t="str">
        <f>VLOOKUP(D262,'Form Responses 1'!B:J,2,FALSE)</f>
        <v>Jl. Raya Nasional 3 No. 14 RT 03 RW 01, Desa Purbowangi, Kecamatan Buayan, Kabupaten Kebumen</v>
      </c>
      <c r="F262" s="38" t="str">
        <f>VLOOKUP(D262,'Form Responses 1'!B:J,5,FALSE)</f>
        <v>Timbangan Elektronik</v>
      </c>
      <c r="G262" s="38" t="str">
        <f>VLOOKUP(D262,'Form Responses 1'!B:J,6,FALSE)</f>
        <v>OSUKA</v>
      </c>
      <c r="H262" s="38" t="str">
        <f>VLOOKUP(D262,'Form Responses 1'!B:J,7,FALSE)</f>
        <v>-</v>
      </c>
      <c r="I262" s="38" t="str">
        <f>VLOOKUP(D262,'Form Responses 1'!B:J,8,FALSE)</f>
        <v>-</v>
      </c>
      <c r="J262" s="38" t="str">
        <f>VLOOKUP(D262,'Form Responses 1'!B:J,9,FALSE)</f>
        <v>500 g / 0,01 g</v>
      </c>
      <c r="K262" s="23">
        <v>46126</v>
      </c>
      <c r="L262" s="30" t="s">
        <v>1322</v>
      </c>
      <c r="M262" s="28" t="b">
        <v>1</v>
      </c>
    </row>
    <row r="263" spans="1:13" ht="51">
      <c r="D263" s="29" t="s">
        <v>968</v>
      </c>
      <c r="E263" s="38" t="str">
        <f>VLOOKUP(D263,'Form Responses 1'!B:J,2,FALSE)</f>
        <v>Jl. Raya Nasional 3 No. 14 RT 03 RW 01, Desa Purbowangi, Kecamatan Buayan, Kabupaten Kebumen</v>
      </c>
      <c r="F263" s="38" t="str">
        <f>VLOOKUP(D263,'Form Responses 1'!B:J,5,FALSE)</f>
        <v>Timbangan Elektronik</v>
      </c>
      <c r="G263" s="38" t="str">
        <f>VLOOKUP(D263,'Form Responses 1'!B:J,6,FALSE)</f>
        <v>FUJIYAMA</v>
      </c>
      <c r="H263" s="38" t="str">
        <f>VLOOKUP(D263,'Form Responses 1'!B:J,7,FALSE)</f>
        <v>FES-30</v>
      </c>
      <c r="I263" s="38">
        <f>VLOOKUP(D263,'Form Responses 1'!B:J,8,FALSE)</f>
        <v>21200199</v>
      </c>
      <c r="J263" s="38" t="str">
        <f>VLOOKUP(D263,'Form Responses 1'!B:J,9,FALSE)</f>
        <v>30 kg / 5 g</v>
      </c>
      <c r="K263" s="23"/>
      <c r="L263" s="30" t="s">
        <v>1322</v>
      </c>
      <c r="M263" s="28" t="b">
        <v>1</v>
      </c>
    </row>
    <row r="264" spans="1:13" ht="51">
      <c r="A264" s="29">
        <v>153</v>
      </c>
      <c r="B264" s="29" t="s">
        <v>1480</v>
      </c>
      <c r="C264" s="23">
        <v>46127</v>
      </c>
      <c r="D264" s="29" t="s">
        <v>971</v>
      </c>
      <c r="E264" s="38" t="str">
        <f>VLOOKUP(D264,'Form Responses 1'!B:J,2,FALSE)</f>
        <v>Jl. Raya Nasional 3 No. 14 RT 03 RW 01, Desa Purbowangi, Kecamatan Buayan, Kabupaten Kebumen</v>
      </c>
      <c r="F264" s="38" t="str">
        <f>VLOOKUP(D264,'Form Responses 1'!B:J,5,FALSE)</f>
        <v>Timbangan Elektronik</v>
      </c>
      <c r="G264" s="38" t="str">
        <f>VLOOKUP(D264,'Form Responses 1'!B:J,6,FALSE)</f>
        <v>METTLER TOLEDO GmbH</v>
      </c>
      <c r="H264" s="38" t="str">
        <f>VLOOKUP(D264,'Form Responses 1'!B:J,7,FALSE)</f>
        <v>ME802</v>
      </c>
      <c r="I264" s="38" t="str">
        <f>VLOOKUP(D264,'Form Responses 1'!B:J,8,FALSE)</f>
        <v>C348197670</v>
      </c>
      <c r="J264" s="38" t="str">
        <f>VLOOKUP(D264,'Form Responses 1'!B:J,9,FALSE)</f>
        <v>820 g / 0,01 g</v>
      </c>
      <c r="K264" s="23">
        <v>46126</v>
      </c>
      <c r="L264" s="30" t="s">
        <v>1326</v>
      </c>
      <c r="M264" s="28" t="b">
        <v>1</v>
      </c>
    </row>
    <row r="265" spans="1:13" ht="51">
      <c r="D265" s="29" t="s">
        <v>976</v>
      </c>
      <c r="E265" s="38" t="str">
        <f>VLOOKUP(D265,'Form Responses 1'!B:J,2,FALSE)</f>
        <v>Jl. Raya Nasional 3 No. 14 RT 03 RW 01, Desa Purbowangi, Kecamatan Buayan, Kabupaten Kebumen</v>
      </c>
      <c r="F265" s="38" t="str">
        <f>VLOOKUP(D265,'Form Responses 1'!B:J,5,FALSE)</f>
        <v>Timbangan Elektronik</v>
      </c>
      <c r="G265" s="38" t="str">
        <f>VLOOKUP(D265,'Form Responses 1'!B:J,6,FALSE)</f>
        <v>METTLER TOLEDO GmbH</v>
      </c>
      <c r="H265" s="38" t="str">
        <f>VLOOKUP(D265,'Form Responses 1'!B:J,7,FALSE)</f>
        <v>ME802</v>
      </c>
      <c r="I265" s="38" t="str">
        <f>VLOOKUP(D265,'Form Responses 1'!B:J,8,FALSE)</f>
        <v>C348197671</v>
      </c>
      <c r="J265" s="38" t="str">
        <f>VLOOKUP(D265,'Form Responses 1'!B:J,9,FALSE)</f>
        <v>820 g / 0,01 g</v>
      </c>
      <c r="K265" s="23"/>
      <c r="L265" s="30" t="s">
        <v>1326</v>
      </c>
      <c r="M265" s="28" t="b">
        <v>1</v>
      </c>
    </row>
    <row r="266" spans="1:13" ht="51">
      <c r="D266" s="29" t="s">
        <v>978</v>
      </c>
      <c r="E266" s="38" t="str">
        <f>VLOOKUP(D266,'Form Responses 1'!B:J,2,FALSE)</f>
        <v>Jl. Raya Nasional 3 No. 14 RT 03 RW 01, Desa Purbowangi, Kecamatan Buayan, Kabupaten Kebumen</v>
      </c>
      <c r="F266" s="38" t="str">
        <f>VLOOKUP(D266,'Form Responses 1'!B:J,5,FALSE)</f>
        <v>Timbangan Elektronik</v>
      </c>
      <c r="G266" s="38" t="str">
        <f>VLOOKUP(D266,'Form Responses 1'!B:J,6,FALSE)</f>
        <v>METTLER TOLEDO GmbH</v>
      </c>
      <c r="H266" s="38" t="str">
        <f>VLOOKUP(D266,'Form Responses 1'!B:J,7,FALSE)</f>
        <v>ME802</v>
      </c>
      <c r="I266" s="38" t="str">
        <f>VLOOKUP(D266,'Form Responses 1'!B:J,8,FALSE)</f>
        <v>C348197672</v>
      </c>
      <c r="J266" s="38" t="str">
        <f>VLOOKUP(D266,'Form Responses 1'!B:J,9,FALSE)</f>
        <v>820 g / 0,01 g</v>
      </c>
      <c r="K266" s="23"/>
      <c r="L266" s="30" t="s">
        <v>1326</v>
      </c>
      <c r="M266" s="28" t="b">
        <v>1</v>
      </c>
    </row>
    <row r="267" spans="1:13" ht="51">
      <c r="D267" s="29" t="s">
        <v>980</v>
      </c>
      <c r="E267" s="38" t="str">
        <f>VLOOKUP(D267,'Form Responses 1'!B:J,2,FALSE)</f>
        <v>Jl. Raya Nasional 3 No. 14 RT 03 RW 01, Desa Purbowangi, Kecamatan Buayan, Kabupaten Kebumen</v>
      </c>
      <c r="F267" s="38" t="str">
        <f>VLOOKUP(D267,'Form Responses 1'!B:J,5,FALSE)</f>
        <v>Timbangan Elektronik</v>
      </c>
      <c r="G267" s="38" t="str">
        <f>VLOOKUP(D267,'Form Responses 1'!B:J,6,FALSE)</f>
        <v>METTLER TOLEDO GmbH</v>
      </c>
      <c r="H267" s="38" t="str">
        <f>VLOOKUP(D267,'Form Responses 1'!B:J,7,FALSE)</f>
        <v>ME802</v>
      </c>
      <c r="I267" s="38" t="str">
        <f>VLOOKUP(D267,'Form Responses 1'!B:J,8,FALSE)</f>
        <v>C348197673</v>
      </c>
      <c r="J267" s="38" t="str">
        <f>VLOOKUP(D267,'Form Responses 1'!B:J,9,FALSE)</f>
        <v>820 g / 0,01 g</v>
      </c>
      <c r="K267" s="23"/>
      <c r="L267" s="30" t="s">
        <v>1326</v>
      </c>
      <c r="M267" s="28" t="b">
        <v>1</v>
      </c>
    </row>
    <row r="268" spans="1:13" ht="51">
      <c r="D268" s="29" t="s">
        <v>982</v>
      </c>
      <c r="E268" s="38" t="str">
        <f>VLOOKUP(D268,'Form Responses 1'!B:J,2,FALSE)</f>
        <v>Jl. Raya Nasional 3 No. 14 RT 03 RW 01, Desa Purbowangi, Kecamatan Buayan, Kabupaten Kebumen</v>
      </c>
      <c r="F268" s="38" t="str">
        <f>VLOOKUP(D268,'Form Responses 1'!B:J,5,FALSE)</f>
        <v>Timbangan Elektronik</v>
      </c>
      <c r="G268" s="38" t="str">
        <f>VLOOKUP(D268,'Form Responses 1'!B:J,6,FALSE)</f>
        <v>METTLER TOLEDO GmbH</v>
      </c>
      <c r="H268" s="38" t="str">
        <f>VLOOKUP(D268,'Form Responses 1'!B:J,7,FALSE)</f>
        <v>ME802</v>
      </c>
      <c r="I268" s="38" t="str">
        <f>VLOOKUP(D268,'Form Responses 1'!B:J,8,FALSE)</f>
        <v>C348197674</v>
      </c>
      <c r="J268" s="38" t="str">
        <f>VLOOKUP(D268,'Form Responses 1'!B:J,9,FALSE)</f>
        <v>820 g / 0,01 g</v>
      </c>
      <c r="K268" s="23"/>
      <c r="L268" s="30" t="s">
        <v>1326</v>
      </c>
      <c r="M268" s="28" t="b">
        <v>1</v>
      </c>
    </row>
    <row r="269" spans="1:13" ht="51">
      <c r="D269" s="29" t="s">
        <v>984</v>
      </c>
      <c r="E269" s="38" t="str">
        <f>VLOOKUP(D269,'Form Responses 1'!B:J,2,FALSE)</f>
        <v>Jl. Raya Nasional 3 No. 14 RT 03 RW 01, Desa Purbowangi, Kecamatan Buayan, Kabupaten Kebumen</v>
      </c>
      <c r="F269" s="38" t="str">
        <f>VLOOKUP(D269,'Form Responses 1'!B:J,5,FALSE)</f>
        <v>Timbangan Elektronik</v>
      </c>
      <c r="G269" s="38" t="str">
        <f>VLOOKUP(D269,'Form Responses 1'!B:J,6,FALSE)</f>
        <v>METTLER TOLEDO GmbH</v>
      </c>
      <c r="H269" s="38" t="str">
        <f>VLOOKUP(D269,'Form Responses 1'!B:J,7,FALSE)</f>
        <v>ME802</v>
      </c>
      <c r="I269" s="38" t="str">
        <f>VLOOKUP(D269,'Form Responses 1'!B:J,8,FALSE)</f>
        <v>C348197675</v>
      </c>
      <c r="J269" s="38" t="str">
        <f>VLOOKUP(D269,'Form Responses 1'!B:J,9,FALSE)</f>
        <v>820 g / 0,01 g</v>
      </c>
      <c r="K269" s="23"/>
      <c r="L269" s="30" t="s">
        <v>1326</v>
      </c>
      <c r="M269" s="28" t="b">
        <v>1</v>
      </c>
    </row>
    <row r="270" spans="1:13" ht="51">
      <c r="D270" s="29" t="s">
        <v>986</v>
      </c>
      <c r="E270" s="38" t="str">
        <f>VLOOKUP(D270,'Form Responses 1'!B:J,2,FALSE)</f>
        <v>Jl. Raya Nasional 3 No. 14 RT 03 RW 01, Desa Purbowangi, Kecamatan Buayan, Kabupaten Kebumen</v>
      </c>
      <c r="F270" s="38" t="str">
        <f>VLOOKUP(D270,'Form Responses 1'!B:J,5,FALSE)</f>
        <v>Timbangan Elektronik</v>
      </c>
      <c r="G270" s="38" t="str">
        <f>VLOOKUP(D270,'Form Responses 1'!B:J,6,FALSE)</f>
        <v>METTLER TOLEDO GmbH</v>
      </c>
      <c r="H270" s="38" t="str">
        <f>VLOOKUP(D270,'Form Responses 1'!B:J,7,FALSE)</f>
        <v>ME802</v>
      </c>
      <c r="I270" s="38" t="str">
        <f>VLOOKUP(D270,'Form Responses 1'!B:J,8,FALSE)</f>
        <v>C348197676</v>
      </c>
      <c r="J270" s="38" t="str">
        <f>VLOOKUP(D270,'Form Responses 1'!B:J,9,FALSE)</f>
        <v>820 g / 0,01 g</v>
      </c>
      <c r="K270" s="23"/>
      <c r="L270" s="30" t="s">
        <v>1326</v>
      </c>
      <c r="M270" s="28" t="b">
        <v>1</v>
      </c>
    </row>
    <row r="271" spans="1:13" ht="51">
      <c r="D271" s="29" t="s">
        <v>988</v>
      </c>
      <c r="E271" s="38" t="str">
        <f>VLOOKUP(D271,'Form Responses 1'!B:J,2,FALSE)</f>
        <v>Jl. Raya Nasional 3 No. 14 RT 03 RW 01, Desa Purbowangi, Kecamatan Buayan, Kabupaten Kebumen</v>
      </c>
      <c r="F271" s="38" t="str">
        <f>VLOOKUP(D271,'Form Responses 1'!B:J,5,FALSE)</f>
        <v>Timbangan Elektronik</v>
      </c>
      <c r="G271" s="38" t="str">
        <f>VLOOKUP(D271,'Form Responses 1'!B:J,6,FALSE)</f>
        <v>METTLER TOLEDO GmbH</v>
      </c>
      <c r="H271" s="38" t="str">
        <f>VLOOKUP(D271,'Form Responses 1'!B:J,7,FALSE)</f>
        <v>ME802</v>
      </c>
      <c r="I271" s="38" t="str">
        <f>VLOOKUP(D271,'Form Responses 1'!B:J,8,FALSE)</f>
        <v>C348197677</v>
      </c>
      <c r="J271" s="38" t="str">
        <f>VLOOKUP(D271,'Form Responses 1'!B:J,9,FALSE)</f>
        <v>820 g / 0,01 g</v>
      </c>
      <c r="K271" s="23"/>
      <c r="L271" s="30" t="s">
        <v>1326</v>
      </c>
      <c r="M271" s="28" t="b">
        <v>1</v>
      </c>
    </row>
    <row r="272" spans="1:13" ht="51">
      <c r="D272" s="29" t="s">
        <v>990</v>
      </c>
      <c r="E272" s="38" t="str">
        <f>VLOOKUP(D272,'Form Responses 1'!B:J,2,FALSE)</f>
        <v>Jl. Raya Nasional 3 No. 14 RT 03 RW 01, Desa Purbowangi, Kecamatan Buayan, Kabupaten Kebumen</v>
      </c>
      <c r="F272" s="38" t="str">
        <f>VLOOKUP(D272,'Form Responses 1'!B:J,5,FALSE)</f>
        <v>Timbangan Elektronik</v>
      </c>
      <c r="G272" s="38" t="str">
        <f>VLOOKUP(D272,'Form Responses 1'!B:J,6,FALSE)</f>
        <v>METTLER TOLEDO GmbH</v>
      </c>
      <c r="H272" s="38" t="str">
        <f>VLOOKUP(D272,'Form Responses 1'!B:J,7,FALSE)</f>
        <v>ME802</v>
      </c>
      <c r="I272" s="38" t="str">
        <f>VLOOKUP(D272,'Form Responses 1'!B:J,8,FALSE)</f>
        <v>C348197678</v>
      </c>
      <c r="J272" s="38" t="str">
        <f>VLOOKUP(D272,'Form Responses 1'!B:J,9,FALSE)</f>
        <v>820 g / 0,01 g</v>
      </c>
      <c r="K272" s="23"/>
      <c r="L272" s="30" t="s">
        <v>1326</v>
      </c>
      <c r="M272" s="28" t="b">
        <v>1</v>
      </c>
    </row>
    <row r="273" spans="1:13" ht="51">
      <c r="D273" s="29" t="s">
        <v>992</v>
      </c>
      <c r="E273" s="38" t="str">
        <f>VLOOKUP(D273,'Form Responses 1'!B:J,2,FALSE)</f>
        <v>Jl. Raya Nasional 3 No. 14 RT 03 RW 01, Desa Purbowangi, Kecamatan Buayan, Kabupaten Kebumen</v>
      </c>
      <c r="F273" s="38" t="str">
        <f>VLOOKUP(D273,'Form Responses 1'!B:J,5,FALSE)</f>
        <v>Timbangan Elektronik</v>
      </c>
      <c r="G273" s="38" t="str">
        <f>VLOOKUP(D273,'Form Responses 1'!B:J,6,FALSE)</f>
        <v>METTLER TOLEDO GmbH</v>
      </c>
      <c r="H273" s="38" t="str">
        <f>VLOOKUP(D273,'Form Responses 1'!B:J,7,FALSE)</f>
        <v>ME802</v>
      </c>
      <c r="I273" s="38" t="str">
        <f>VLOOKUP(D273,'Form Responses 1'!B:J,8,FALSE)</f>
        <v>C348197679</v>
      </c>
      <c r="J273" s="38" t="str">
        <f>VLOOKUP(D273,'Form Responses 1'!B:J,9,FALSE)</f>
        <v>820 g / 0,01 g</v>
      </c>
      <c r="K273" s="23"/>
      <c r="L273" s="30" t="s">
        <v>1326</v>
      </c>
      <c r="M273" s="28" t="b">
        <v>1</v>
      </c>
    </row>
    <row r="274" spans="1:13" ht="51">
      <c r="D274" s="29" t="s">
        <v>994</v>
      </c>
      <c r="E274" s="38" t="str">
        <f>VLOOKUP(D274,'Form Responses 1'!B:J,2,FALSE)</f>
        <v>Jl. Raya Nasional 3 No. 14 RT 03 RW 01, Desa Purbowangi, Kecamatan Buayan, Kabupaten Kebumen</v>
      </c>
      <c r="F274" s="38" t="str">
        <f>VLOOKUP(D274,'Form Responses 1'!B:J,5,FALSE)</f>
        <v>Timbangan Elektronik</v>
      </c>
      <c r="G274" s="38" t="str">
        <f>VLOOKUP(D274,'Form Responses 1'!B:J,6,FALSE)</f>
        <v>METTLER TOLEDO GmbH</v>
      </c>
      <c r="H274" s="38" t="str">
        <f>VLOOKUP(D274,'Form Responses 1'!B:J,7,FALSE)</f>
        <v>ME802</v>
      </c>
      <c r="I274" s="38" t="str">
        <f>VLOOKUP(D274,'Form Responses 1'!B:J,8,FALSE)</f>
        <v>C348197680</v>
      </c>
      <c r="J274" s="38" t="str">
        <f>VLOOKUP(D274,'Form Responses 1'!B:J,9,FALSE)</f>
        <v>820 g / 0,01 g</v>
      </c>
      <c r="K274" s="23"/>
      <c r="L274" s="30" t="s">
        <v>1326</v>
      </c>
      <c r="M274" s="28" t="b">
        <v>1</v>
      </c>
    </row>
    <row r="275" spans="1:13" ht="51">
      <c r="D275" s="29" t="s">
        <v>996</v>
      </c>
      <c r="E275" s="38" t="str">
        <f>VLOOKUP(D275,'Form Responses 1'!B:J,2,FALSE)</f>
        <v>Jl. Raya Nasional 3 No. 14 RT 03 RW 01, Desa Purbowangi, Kecamatan Buayan, Kabupaten Kebumen</v>
      </c>
      <c r="F275" s="38" t="str">
        <f>VLOOKUP(D275,'Form Responses 1'!B:J,5,FALSE)</f>
        <v>Timbangan Elektronik</v>
      </c>
      <c r="G275" s="38" t="str">
        <f>VLOOKUP(D275,'Form Responses 1'!B:J,6,FALSE)</f>
        <v>METTLER TOLEDO GmbH</v>
      </c>
      <c r="H275" s="38" t="str">
        <f>VLOOKUP(D275,'Form Responses 1'!B:J,7,FALSE)</f>
        <v>ME802</v>
      </c>
      <c r="I275" s="38" t="str">
        <f>VLOOKUP(D275,'Form Responses 1'!B:J,8,FALSE)</f>
        <v>C348197681</v>
      </c>
      <c r="J275" s="38" t="str">
        <f>VLOOKUP(D275,'Form Responses 1'!B:J,9,FALSE)</f>
        <v>820 g / 0,01 g</v>
      </c>
      <c r="K275" s="23"/>
      <c r="L275" s="30" t="s">
        <v>1326</v>
      </c>
      <c r="M275" s="28" t="b">
        <v>1</v>
      </c>
    </row>
    <row r="276" spans="1:13" ht="51">
      <c r="D276" s="29" t="s">
        <v>998</v>
      </c>
      <c r="E276" s="38" t="str">
        <f>VLOOKUP(D276,'Form Responses 1'!B:J,2,FALSE)</f>
        <v>Jl. Raya Nasional 3 No. 14 RT 03 RW 01, Desa Purbowangi, Kecamatan Buayan, Kabupaten Kebumen</v>
      </c>
      <c r="F276" s="38" t="str">
        <f>VLOOKUP(D276,'Form Responses 1'!B:J,5,FALSE)</f>
        <v>Timbangan Elektronik</v>
      </c>
      <c r="G276" s="38" t="str">
        <f>VLOOKUP(D276,'Form Responses 1'!B:J,6,FALSE)</f>
        <v>METTLER TOLEDO GmbH</v>
      </c>
      <c r="H276" s="38" t="str">
        <f>VLOOKUP(D276,'Form Responses 1'!B:J,7,FALSE)</f>
        <v>BBA231-3BB35A/S</v>
      </c>
      <c r="I276" s="38" t="str">
        <f>VLOOKUP(D276,'Form Responses 1'!B:J,8,FALSE)</f>
        <v>C347169709</v>
      </c>
      <c r="J276" s="38" t="str">
        <f>VLOOKUP(D276,'Form Responses 1'!B:J,9,FALSE)</f>
        <v>35 kg / 0,005 kg</v>
      </c>
      <c r="K276" s="23"/>
      <c r="L276" s="30" t="s">
        <v>1326</v>
      </c>
      <c r="M276" s="28" t="b">
        <v>1</v>
      </c>
    </row>
    <row r="277" spans="1:13" ht="51">
      <c r="D277" s="29" t="s">
        <v>1002</v>
      </c>
      <c r="E277" s="38" t="str">
        <f>VLOOKUP(D277,'Form Responses 1'!B:J,2,FALSE)</f>
        <v>Jl. Raya Nasional 3 No. 14 RT 03 RW 01, Desa Purbowangi, Kecamatan Buayan, Kabupaten Kebumen</v>
      </c>
      <c r="F277" s="38" t="str">
        <f>VLOOKUP(D277,'Form Responses 1'!B:J,5,FALSE)</f>
        <v>Timbangan Elektronik</v>
      </c>
      <c r="G277" s="38" t="str">
        <f>VLOOKUP(D277,'Form Responses 1'!B:J,6,FALSE)</f>
        <v>METTLER TOLEDO GmbH</v>
      </c>
      <c r="H277" s="38" t="str">
        <f>VLOOKUP(D277,'Form Responses 1'!B:J,7,FALSE)</f>
        <v>BBA231-3BB35A/S</v>
      </c>
      <c r="I277" s="38" t="str">
        <f>VLOOKUP(D277,'Form Responses 1'!B:J,8,FALSE)</f>
        <v>C347169833</v>
      </c>
      <c r="J277" s="38" t="str">
        <f>VLOOKUP(D277,'Form Responses 1'!B:J,9,FALSE)</f>
        <v>35 kg / 0,005 kg</v>
      </c>
      <c r="K277" s="23"/>
      <c r="L277" s="30" t="s">
        <v>1326</v>
      </c>
      <c r="M277" s="28" t="b">
        <v>1</v>
      </c>
    </row>
    <row r="278" spans="1:13" ht="51">
      <c r="D278" s="29" t="s">
        <v>1002</v>
      </c>
      <c r="E278" s="38" t="str">
        <f>VLOOKUP(D278,'Form Responses 1'!B:J,2,FALSE)</f>
        <v>Jl. Raya Nasional 3 No. 14 RT 03 RW 01, Desa Purbowangi, Kecamatan Buayan, Kabupaten Kebumen</v>
      </c>
      <c r="F278" s="38" t="str">
        <f>VLOOKUP(D278,'Form Responses 1'!B:J,5,FALSE)</f>
        <v>Timbangan Elektronik</v>
      </c>
      <c r="G278" s="38" t="str">
        <f>VLOOKUP(D278,'Form Responses 1'!B:J,6,FALSE)</f>
        <v>METTLER TOLEDO GmbH</v>
      </c>
      <c r="H278" s="38" t="str">
        <f>VLOOKUP(D278,'Form Responses 1'!B:J,7,FALSE)</f>
        <v>BBA231-3BB35A/S</v>
      </c>
      <c r="I278" s="38" t="str">
        <f>VLOOKUP(D278,'Form Responses 1'!B:J,8,FALSE)</f>
        <v>C347169833</v>
      </c>
      <c r="J278" s="38" t="str">
        <f>VLOOKUP(D278,'Form Responses 1'!B:J,9,FALSE)</f>
        <v>35 kg / 0,005 kg</v>
      </c>
      <c r="K278" s="23"/>
      <c r="L278" s="30" t="s">
        <v>1326</v>
      </c>
      <c r="M278" s="28" t="b">
        <v>1</v>
      </c>
    </row>
    <row r="279" spans="1:13" ht="51">
      <c r="D279" s="29" t="s">
        <v>1005</v>
      </c>
      <c r="E279" s="38" t="str">
        <f>VLOOKUP(D279,'Form Responses 1'!B:J,2,FALSE)</f>
        <v>Jl. Raya Nasional 3 No. 14 RT 03 RW 01, Desa Purbowangi, Kecamatan Buayan, Kabupaten Kebumen</v>
      </c>
      <c r="F279" s="38" t="str">
        <f>VLOOKUP(D279,'Form Responses 1'!B:J,5,FALSE)</f>
        <v>Timbangan Elektronik</v>
      </c>
      <c r="G279" s="38" t="str">
        <f>VLOOKUP(D279,'Form Responses 1'!B:J,6,FALSE)</f>
        <v>METTLER TOLEDO GmbH</v>
      </c>
      <c r="H279" s="38" t="str">
        <f>VLOOKUP(D279,'Form Responses 1'!B:J,7,FALSE)</f>
        <v>BBA231-3BB35A/S</v>
      </c>
      <c r="I279" s="38" t="str">
        <f>VLOOKUP(D279,'Form Responses 1'!B:J,8,FALSE)</f>
        <v>C347169711</v>
      </c>
      <c r="J279" s="38" t="str">
        <f>VLOOKUP(D279,'Form Responses 1'!B:J,9,FALSE)</f>
        <v>35 kg / 0,005 kg</v>
      </c>
      <c r="K279" s="23"/>
      <c r="L279" s="30" t="s">
        <v>1326</v>
      </c>
      <c r="M279" s="28" t="b">
        <v>1</v>
      </c>
    </row>
    <row r="280" spans="1:13" ht="51">
      <c r="D280" s="29" t="s">
        <v>1007</v>
      </c>
      <c r="E280" s="38" t="str">
        <f>VLOOKUP(D280,'Form Responses 1'!B:J,2,FALSE)</f>
        <v>Jl. Raya Nasional 3 No. 14 RT 03 RW 01, Desa Purbowangi, Kecamatan Buayan, Kabupaten Kebumen</v>
      </c>
      <c r="F280" s="38" t="str">
        <f>VLOOKUP(D280,'Form Responses 1'!B:J,5,FALSE)</f>
        <v>Timbangan Elektronik</v>
      </c>
      <c r="G280" s="38" t="str">
        <f>VLOOKUP(D280,'Form Responses 1'!B:J,6,FALSE)</f>
        <v>METTLER TOLEDO GmbH</v>
      </c>
      <c r="H280" s="38" t="str">
        <f>VLOOKUP(D280,'Form Responses 1'!B:J,7,FALSE)</f>
        <v>BBA231-3BB35A/S</v>
      </c>
      <c r="I280" s="38" t="str">
        <f>VLOOKUP(D280,'Form Responses 1'!B:J,8,FALSE)</f>
        <v>C347169712</v>
      </c>
      <c r="J280" s="38" t="str">
        <f>VLOOKUP(D280,'Form Responses 1'!B:J,9,FALSE)</f>
        <v>35 kg / 0,005 kg</v>
      </c>
      <c r="K280" s="23"/>
      <c r="L280" s="30" t="s">
        <v>1326</v>
      </c>
      <c r="M280" s="28" t="b">
        <v>1</v>
      </c>
    </row>
    <row r="281" spans="1:13" ht="51">
      <c r="D281" s="29" t="s">
        <v>1007</v>
      </c>
      <c r="E281" s="38" t="str">
        <f>VLOOKUP(D281,'Form Responses 1'!B:J,2,FALSE)</f>
        <v>Jl. Raya Nasional 3 No. 14 RT 03 RW 01, Desa Purbowangi, Kecamatan Buayan, Kabupaten Kebumen</v>
      </c>
      <c r="F281" s="38" t="str">
        <f>VLOOKUP(D281,'Form Responses 1'!B:J,5,FALSE)</f>
        <v>Timbangan Elektronik</v>
      </c>
      <c r="G281" s="38" t="str">
        <f>VLOOKUP(D281,'Form Responses 1'!B:J,6,FALSE)</f>
        <v>METTLER TOLEDO GmbH</v>
      </c>
      <c r="H281" s="38" t="str">
        <f>VLOOKUP(D281,'Form Responses 1'!B:J,7,FALSE)</f>
        <v>BBA231-3BB35A/S</v>
      </c>
      <c r="I281" s="38" t="str">
        <f>VLOOKUP(D281,'Form Responses 1'!B:J,8,FALSE)</f>
        <v>C347169712</v>
      </c>
      <c r="J281" s="38" t="str">
        <f>VLOOKUP(D281,'Form Responses 1'!B:J,9,FALSE)</f>
        <v>35 kg / 0,005 kg</v>
      </c>
      <c r="K281" s="23"/>
      <c r="L281" s="30" t="s">
        <v>1326</v>
      </c>
      <c r="M281" s="28" t="b">
        <v>1</v>
      </c>
    </row>
    <row r="282" spans="1:13" ht="51">
      <c r="D282" s="29" t="s">
        <v>1010</v>
      </c>
      <c r="E282" s="38" t="str">
        <f>VLOOKUP(D282,'Form Responses 1'!B:J,2,FALSE)</f>
        <v>Jl. Raya Nasional 3 No. 14 RT 03 RW 01, Desa Purbowangi, Kecamatan Buayan, Kabupaten Kebumen</v>
      </c>
      <c r="F282" s="38" t="str">
        <f>VLOOKUP(D282,'Form Responses 1'!B:J,5,FALSE)</f>
        <v>Timbangan Elektronik</v>
      </c>
      <c r="G282" s="38" t="str">
        <f>VLOOKUP(D282,'Form Responses 1'!B:J,6,FALSE)</f>
        <v>METTLER TOLEDO GmbH</v>
      </c>
      <c r="H282" s="38" t="str">
        <f>VLOOKUP(D282,'Form Responses 1'!B:J,7,FALSE)</f>
        <v>ICS429-6CC300/s</v>
      </c>
      <c r="I282" s="38" t="str">
        <f>VLOOKUP(D282,'Form Responses 1'!B:J,8,FALSE)</f>
        <v>C347169730</v>
      </c>
      <c r="J282" s="38" t="str">
        <f>VLOOKUP(D282,'Form Responses 1'!B:J,9,FALSE)</f>
        <v>300 kg / 0,05 kg</v>
      </c>
      <c r="K282" s="23"/>
      <c r="L282" s="30" t="s">
        <v>1326</v>
      </c>
      <c r="M282" s="28" t="b">
        <v>1</v>
      </c>
    </row>
    <row r="283" spans="1:13" ht="38.25">
      <c r="A283" s="29">
        <v>154</v>
      </c>
      <c r="B283" s="29" t="s">
        <v>1481</v>
      </c>
      <c r="C283" s="23">
        <v>46129</v>
      </c>
      <c r="D283" s="29" t="s">
        <v>1014</v>
      </c>
      <c r="E283" s="38" t="str">
        <f>VLOOKUP(D283,'Form Responses 1'!B:J,2,FALSE)</f>
        <v>Dukuh Panyet RT 04 RW 02 Desa Karangduwur, Kecamatan Ayah, Kabupaten Kebumen</v>
      </c>
      <c r="F283" s="38" t="str">
        <f>VLOOKUP(D283,'Form Responses 1'!B:J,5,FALSE)</f>
        <v>Timbangan Elektronik</v>
      </c>
      <c r="G283" s="38" t="str">
        <f>VLOOKUP(D283,'Form Responses 1'!B:J,6,FALSE)</f>
        <v>FURANO</v>
      </c>
      <c r="H283" s="38" t="str">
        <f>VLOOKUP(D283,'Form Responses 1'!B:J,7,FALSE)</f>
        <v>JKS</v>
      </c>
      <c r="I283" s="38" t="str">
        <f>VLOOKUP(D283,'Form Responses 1'!B:J,8,FALSE)</f>
        <v>JKSC2410656</v>
      </c>
      <c r="J283" s="38" t="str">
        <f>VLOOKUP(D283,'Form Responses 1'!B:J,9,FALSE)</f>
        <v xml:space="preserve">150 kg / 0,01 kg </v>
      </c>
      <c r="K283" s="23">
        <v>46128</v>
      </c>
      <c r="L283" s="30" t="s">
        <v>1326</v>
      </c>
      <c r="M283" s="28" t="b">
        <v>1</v>
      </c>
    </row>
    <row r="284" spans="1:13" ht="38.25">
      <c r="A284" s="29">
        <v>155</v>
      </c>
      <c r="B284" s="29" t="s">
        <v>1482</v>
      </c>
      <c r="C284" s="23">
        <v>46132</v>
      </c>
      <c r="D284" s="29" t="s">
        <v>1022</v>
      </c>
      <c r="E284" s="38" t="str">
        <f>VLOOKUP(D284,'Form Responses 1'!B:J,2,FALSE)</f>
        <v>Bojongsari RT 01 RW 01, Kecamatan Alian, Kabupaten Kebumen</v>
      </c>
      <c r="F284" s="38" t="str">
        <f>VLOOKUP(D284,'Form Responses 1'!B:J,5,FALSE)</f>
        <v>Neraca Obat</v>
      </c>
      <c r="G284" s="38" t="str">
        <f>VLOOKUP(D284,'Form Responses 1'!B:J,6,FALSE)</f>
        <v>SNS</v>
      </c>
      <c r="H284" s="38" t="str">
        <f>VLOOKUP(D284,'Form Responses 1'!B:J,7,FALSE)</f>
        <v>_</v>
      </c>
      <c r="I284" s="38">
        <f>VLOOKUP(D284,'Form Responses 1'!B:J,8,FALSE)</f>
        <v>22190</v>
      </c>
      <c r="J284" s="38" t="str">
        <f>VLOOKUP(D284,'Form Responses 1'!B:J,9,FALSE)</f>
        <v>50 g / 25 mg</v>
      </c>
      <c r="K284" s="23">
        <v>46132</v>
      </c>
      <c r="L284" s="30" t="s">
        <v>1326</v>
      </c>
      <c r="M284" s="28" t="b">
        <v>1</v>
      </c>
    </row>
    <row r="285" spans="1:13" ht="38.25">
      <c r="A285" s="29">
        <v>156</v>
      </c>
      <c r="B285" s="29" t="s">
        <v>1483</v>
      </c>
      <c r="C285" s="23">
        <v>46132</v>
      </c>
      <c r="D285" s="29" t="s">
        <v>1027</v>
      </c>
      <c r="E285" s="38" t="str">
        <f>VLOOKUP(D285,'Form Responses 1'!B:J,2,FALSE)</f>
        <v>Karangsari RT 02 RW 01, Kecamatan Kebumen, Kabupaten Kebumen</v>
      </c>
      <c r="F285" s="38" t="str">
        <f>VLOOKUP(D285,'Form Responses 1'!B:J,5,FALSE)</f>
        <v>Timbangan Elektronik</v>
      </c>
      <c r="G285" s="38" t="str">
        <f>VLOOKUP(D285,'Form Responses 1'!B:J,6,FALSE)</f>
        <v>Greatscale</v>
      </c>
      <c r="H285" s="38" t="str">
        <f>VLOOKUP(D285,'Form Responses 1'!B:J,7,FALSE)</f>
        <v>XK-3190A7</v>
      </c>
      <c r="I285" s="38" t="str">
        <f>VLOOKUP(D285,'Form Responses 1'!B:J,8,FALSE)</f>
        <v>-</v>
      </c>
      <c r="J285" s="38" t="str">
        <f>VLOOKUP(D285,'Form Responses 1'!B:J,9,FALSE)</f>
        <v xml:space="preserve">150 kg / 20 g </v>
      </c>
      <c r="K285" s="23">
        <v>46132</v>
      </c>
      <c r="L285" s="30" t="s">
        <v>1326</v>
      </c>
      <c r="M285" s="28" t="b">
        <v>1</v>
      </c>
    </row>
    <row r="286" spans="1:13" ht="38.25">
      <c r="A286" s="29">
        <v>157</v>
      </c>
      <c r="B286" s="29" t="s">
        <v>1484</v>
      </c>
      <c r="C286" s="23">
        <v>46135</v>
      </c>
      <c r="D286" s="29" t="s">
        <v>1031</v>
      </c>
      <c r="E286" s="38" t="str">
        <f>VLOOKUP(D286,'Form Responses 1'!B:J,2,FALSE)</f>
        <v>Jl.Karangbolong KM 05 Mergasana, Kecamatan Buayan, Kabupaten Kebumen</v>
      </c>
      <c r="F286" s="38" t="str">
        <f>VLOOKUP(D286,'Form Responses 1'!B:J,5,FALSE)</f>
        <v>Timbangan Elektronik</v>
      </c>
      <c r="G286" s="38" t="str">
        <f>VLOOKUP(D286,'Form Responses 1'!B:J,6,FALSE)</f>
        <v>Osuka</v>
      </c>
      <c r="H286" s="38" t="str">
        <f>VLOOKUP(D286,'Form Responses 1'!B:J,7,FALSE)</f>
        <v>OSK-1000</v>
      </c>
      <c r="I286" s="38">
        <f>VLOOKUP(D286,'Form Responses 1'!B:J,8,FALSE)</f>
        <v>0</v>
      </c>
      <c r="J286" s="38" t="str">
        <f>VLOOKUP(D286,'Form Responses 1'!B:J,9,FALSE)</f>
        <v>1 kg / 0.1 g</v>
      </c>
      <c r="K286" s="23">
        <v>46135</v>
      </c>
      <c r="L286" s="30" t="s">
        <v>1324</v>
      </c>
      <c r="M286" s="28" t="b">
        <v>1</v>
      </c>
    </row>
    <row r="287" spans="1:13" ht="25.5">
      <c r="A287" s="29">
        <v>158</v>
      </c>
      <c r="B287" s="29" t="s">
        <v>1485</v>
      </c>
      <c r="C287" s="23">
        <v>46139</v>
      </c>
      <c r="D287" s="29" t="s">
        <v>1037</v>
      </c>
      <c r="E287" s="38" t="str">
        <f>VLOOKUP(D287,'Form Responses 1'!B:J,2,FALSE)</f>
        <v>Jl.HM. Sarbini No. 122, Kecamatan Kebumen, Kabupaten Kebumen</v>
      </c>
      <c r="F287" s="38" t="str">
        <f>VLOOKUP(D287,'Form Responses 1'!B:J,5,FALSE)</f>
        <v>Timbangan Elektronik</v>
      </c>
      <c r="G287" s="38" t="str">
        <f>VLOOKUP(D287,'Form Responses 1'!B:J,6,FALSE)</f>
        <v>CHQ</v>
      </c>
      <c r="H287" s="38" t="str">
        <f>VLOOKUP(D287,'Form Responses 1'!B:J,7,FALSE)</f>
        <v>AJ SERIES</v>
      </c>
      <c r="I287" s="38" t="str">
        <f>VLOOKUP(D287,'Form Responses 1'!B:J,8,FALSE)</f>
        <v>-</v>
      </c>
      <c r="J287" s="38" t="str">
        <f>VLOOKUP(D287,'Form Responses 1'!B:J,9,FALSE)</f>
        <v>1000 g / 0.01 g</v>
      </c>
      <c r="K287" s="23">
        <v>46139</v>
      </c>
      <c r="L287" s="30" t="s">
        <v>1324</v>
      </c>
      <c r="M287" s="28" t="b">
        <v>1</v>
      </c>
    </row>
    <row r="288" spans="1:13" ht="25.5">
      <c r="A288" s="29">
        <v>159</v>
      </c>
      <c r="B288" s="29" t="s">
        <v>1486</v>
      </c>
      <c r="C288" s="23">
        <v>46139</v>
      </c>
      <c r="D288" s="29" t="s">
        <v>1043</v>
      </c>
      <c r="E288" s="38" t="str">
        <f>VLOOKUP(D288,'Form Responses 1'!B:J,2,FALSE)</f>
        <v>Klopogondo, Kecamatan Sruweng, Kabupaten Kebumen</v>
      </c>
      <c r="F288" s="38" t="str">
        <f>VLOOKUP(D288,'Form Responses 1'!B:J,5,FALSE)</f>
        <v>Timbangan Elektronik</v>
      </c>
      <c r="G288" s="38" t="str">
        <f>VLOOKUP(D288,'Form Responses 1'!B:J,6,FALSE)</f>
        <v>Acis</v>
      </c>
      <c r="H288" s="38" t="str">
        <f>VLOOKUP(D288,'Form Responses 1'!B:J,7,FALSE)</f>
        <v>ACIS/BC-500</v>
      </c>
      <c r="I288" s="38" t="str">
        <f>VLOOKUP(D288,'Form Responses 1'!B:J,8,FALSE)</f>
        <v>812031605166900000121</v>
      </c>
      <c r="J288" s="38" t="str">
        <f>VLOOKUP(D288,'Form Responses 1'!B:J,9,FALSE)</f>
        <v>500 g / 0,1 g</v>
      </c>
      <c r="K288" s="23">
        <v>46139</v>
      </c>
      <c r="L288" s="30" t="s">
        <v>1324</v>
      </c>
      <c r="M288" s="28" t="b">
        <v>1</v>
      </c>
    </row>
    <row r="289" spans="1:13" ht="25.5">
      <c r="A289" s="29">
        <v>160</v>
      </c>
      <c r="B289" s="29" t="s">
        <v>1487</v>
      </c>
      <c r="C289" s="23">
        <v>46141</v>
      </c>
      <c r="D289" s="29" t="s">
        <v>1048</v>
      </c>
      <c r="E289" s="38" t="str">
        <f>VLOOKUP(D289,'Form Responses 1'!B:J,2,FALSE)</f>
        <v>Jl. Daendels KM 1, Kecamatan Petanahan, Kabupaten Kebumen</v>
      </c>
      <c r="F289" s="38" t="str">
        <f>VLOOKUP(D289,'Form Responses 1'!B:J,5,FALSE)</f>
        <v>Timbangan Elektronik</v>
      </c>
      <c r="G289" s="38" t="str">
        <f>VLOOKUP(D289,'Form Responses 1'!B:J,6,FALSE)</f>
        <v>ACIS</v>
      </c>
      <c r="H289" s="38" t="str">
        <f>VLOOKUP(D289,'Form Responses 1'!B:J,7,FALSE)</f>
        <v>BC-500</v>
      </c>
      <c r="I289" s="38" t="str">
        <f>VLOOKUP(D289,'Form Responses 1'!B:J,8,FALSE)</f>
        <v>E250703127</v>
      </c>
      <c r="J289" s="38" t="str">
        <f>VLOOKUP(D289,'Form Responses 1'!B:J,9,FALSE)</f>
        <v>500 g / 0,1 g</v>
      </c>
      <c r="K289" s="23">
        <v>46141</v>
      </c>
      <c r="L289" s="30" t="s">
        <v>1322</v>
      </c>
      <c r="M289" s="28" t="b">
        <v>1</v>
      </c>
    </row>
    <row r="290" spans="1:13" ht="38.25">
      <c r="A290" s="29">
        <v>161</v>
      </c>
      <c r="B290" s="29" t="s">
        <v>1488</v>
      </c>
      <c r="C290" s="23">
        <v>46146</v>
      </c>
      <c r="D290" s="41" t="s">
        <v>1053</v>
      </c>
      <c r="E290" s="38" t="str">
        <f>VLOOKUP(D290,'Form Responses 1'!B:J,2,FALSE)</f>
        <v xml:space="preserve">Jl. Raya Gombong Barat Km 3 Purbowangi, Kecamatan Buayan, Kabupaten Kebumen </v>
      </c>
      <c r="F290" s="38" t="str">
        <f>VLOOKUP(D290,'Form Responses 1'!B:J,5,FALSE)</f>
        <v>Timbangan Elektronik</v>
      </c>
      <c r="G290" s="38" t="str">
        <f>VLOOKUP(D290,'Form Responses 1'!B:J,6,FALSE)</f>
        <v>GSC</v>
      </c>
      <c r="H290" s="38" t="str">
        <f>VLOOKUP(D290,'Form Responses 1'!B:J,7,FALSE)</f>
        <v>GST 9800 P</v>
      </c>
      <c r="I290" s="38">
        <f>VLOOKUP(D290,'Form Responses 1'!B:J,8,FALSE)</f>
        <v>1107484</v>
      </c>
      <c r="J290" s="38" t="str">
        <f>VLOOKUP(D290,'Form Responses 1'!B:J,9,FALSE)</f>
        <v>60.000 kg / 10 kg</v>
      </c>
      <c r="K290" s="23">
        <v>46142</v>
      </c>
      <c r="L290" s="30" t="s">
        <v>1326</v>
      </c>
      <c r="M290" s="28" t="b">
        <v>1</v>
      </c>
    </row>
    <row r="291" spans="1:13" ht="51">
      <c r="A291" s="29">
        <v>162</v>
      </c>
      <c r="B291" s="29" t="s">
        <v>1489</v>
      </c>
      <c r="C291" s="23">
        <v>46147</v>
      </c>
      <c r="D291" s="29" t="s">
        <v>1059</v>
      </c>
      <c r="E291" s="38" t="str">
        <f>VLOOKUP(D291,'Form Responses 1'!B:J,2,FALSE)</f>
        <v>Jl. Raya Kutoarjo-Kebumen, Desa Kaliputih, Kecamatan Kutowinangun, Kabupaten Kebumen</v>
      </c>
      <c r="F291" s="38" t="str">
        <f>VLOOKUP(D291,'Form Responses 1'!B:J,5,FALSE)</f>
        <v>Timbangan Elektronik</v>
      </c>
      <c r="G291" s="38" t="str">
        <f>VLOOKUP(D291,'Form Responses 1'!B:J,6,FALSE)</f>
        <v>GEWINN</v>
      </c>
      <c r="H291" s="38" t="str">
        <f>VLOOKUP(D291,'Form Responses 1'!B:J,7,FALSE)</f>
        <v>Smart Gewinn</v>
      </c>
      <c r="I291" s="38">
        <f>VLOOKUP(D291,'Form Responses 1'!B:J,8,FALSE)</f>
        <v>1726962</v>
      </c>
      <c r="J291" s="38" t="str">
        <f>VLOOKUP(D291,'Form Responses 1'!B:J,9,FALSE)</f>
        <v>50000 kg / 10 kg</v>
      </c>
      <c r="K291" s="23">
        <v>46146</v>
      </c>
      <c r="L291" s="30" t="s">
        <v>1326</v>
      </c>
      <c r="M291" s="28" t="b">
        <v>1</v>
      </c>
    </row>
    <row r="292" spans="1:13" ht="51">
      <c r="A292" s="29">
        <v>163</v>
      </c>
      <c r="B292" s="29" t="s">
        <v>1490</v>
      </c>
      <c r="C292" s="23">
        <v>46147</v>
      </c>
      <c r="D292" s="29" t="s">
        <v>1065</v>
      </c>
      <c r="E292" s="38" t="str">
        <f>VLOOKUP(D292,'Form Responses 1'!B:J,2,FALSE)</f>
        <v>Jl. Raya Kutoarjo-Kebumen, Desa Kaliputih, Kecamatan Kutowinangun, Kabupaten Kebumen</v>
      </c>
      <c r="F292" s="38" t="str">
        <f>VLOOKUP(D292,'Form Responses 1'!B:J,5,FALSE)</f>
        <v>Timbangan Elektronik</v>
      </c>
      <c r="G292" s="38" t="str">
        <f>VLOOKUP(D292,'Form Responses 1'!B:J,6,FALSE)</f>
        <v>ALEXA</v>
      </c>
      <c r="H292" s="38" t="str">
        <f>VLOOKUP(D292,'Form Responses 1'!B:J,7,FALSE)</f>
        <v>TMALEXARB 600/5060</v>
      </c>
      <c r="I292" s="38" t="str">
        <f>VLOOKUP(D292,'Form Responses 1'!B:J,8,FALSE)</f>
        <v>SPCRBEK0391</v>
      </c>
      <c r="J292" s="38" t="str">
        <f>VLOOKUP(D292,'Form Responses 1'!B:J,9,FALSE)</f>
        <v>600 kg / 10 g</v>
      </c>
      <c r="K292" s="23">
        <v>46146</v>
      </c>
      <c r="L292" s="30" t="s">
        <v>1322</v>
      </c>
      <c r="M292" s="28" t="b">
        <v>1</v>
      </c>
    </row>
    <row r="293" spans="1:13" ht="51">
      <c r="C293" s="23">
        <v>46147</v>
      </c>
      <c r="D293" s="29" t="s">
        <v>1070</v>
      </c>
      <c r="E293" s="38" t="str">
        <f>VLOOKUP(D293,'Form Responses 1'!B:J,2,FALSE)</f>
        <v>Jl. Raya Kutoarjo-Kebumen, Desa Kaliputih, Kecamatan Kutowinangun, Kabupaten Kebumen</v>
      </c>
      <c r="F293" s="38" t="str">
        <f>VLOOKUP(D293,'Form Responses 1'!B:J,5,FALSE)</f>
        <v>Timbangan Elektronik</v>
      </c>
      <c r="G293" s="38" t="str">
        <f>VLOOKUP(D293,'Form Responses 1'!B:J,6,FALSE)</f>
        <v>ALEXA</v>
      </c>
      <c r="H293" s="38" t="str">
        <f>VLOOKUP(D293,'Form Responses 1'!B:J,7,FALSE)</f>
        <v>TMALEXAA 150/4050</v>
      </c>
      <c r="I293" s="38" t="str">
        <f>VLOOKUP(D293,'Form Responses 1'!B:J,8,FALSE)</f>
        <v>SPGAEY 0115</v>
      </c>
      <c r="J293" s="38" t="str">
        <f>VLOOKUP(D293,'Form Responses 1'!B:J,9,FALSE)</f>
        <v>150 kg / 10 g</v>
      </c>
      <c r="K293" s="23">
        <v>46146</v>
      </c>
      <c r="L293" s="30" t="s">
        <v>1322</v>
      </c>
      <c r="M293" s="28" t="b">
        <v>1</v>
      </c>
    </row>
    <row r="294" spans="1:13" ht="51">
      <c r="A294" s="29">
        <v>164</v>
      </c>
      <c r="B294" s="29" t="s">
        <v>1491</v>
      </c>
      <c r="C294" s="23">
        <v>46147</v>
      </c>
      <c r="D294" s="29" t="s">
        <v>1073</v>
      </c>
      <c r="E294" s="38" t="str">
        <f>VLOOKUP(D294,'Form Responses 1'!B:J,2,FALSE)</f>
        <v>Jl. Raya Kutoarjo-Kebumen, Desa Kaliputih, Kecamatan Kutowinangun, Kabupaten Kebumen</v>
      </c>
      <c r="F294" s="38" t="str">
        <f>VLOOKUP(D294,'Form Responses 1'!B:J,5,FALSE)</f>
        <v>Timbangan Elektronik</v>
      </c>
      <c r="G294" s="38" t="str">
        <f>VLOOKUP(D294,'Form Responses 1'!B:J,6,FALSE)</f>
        <v>ACIS</v>
      </c>
      <c r="H294" s="38" t="str">
        <f>VLOOKUP(D294,'Form Responses 1'!B:J,7,FALSE)</f>
        <v>BC-500</v>
      </c>
      <c r="I294" s="38" t="str">
        <f>VLOOKUP(D294,'Form Responses 1'!B:J,8,FALSE)</f>
        <v>C220801015</v>
      </c>
      <c r="J294" s="38" t="str">
        <f>VLOOKUP(D294,'Form Responses 1'!B:J,9,FALSE)</f>
        <v>500 g / 0,1 g</v>
      </c>
      <c r="K294" s="23">
        <v>46146</v>
      </c>
      <c r="L294" s="30" t="s">
        <v>1322</v>
      </c>
      <c r="M294" s="28" t="b">
        <v>1</v>
      </c>
    </row>
    <row r="295" spans="1:13" ht="51">
      <c r="A295" s="29">
        <v>165</v>
      </c>
      <c r="B295" s="29" t="s">
        <v>1492</v>
      </c>
      <c r="C295" s="23">
        <v>46147</v>
      </c>
      <c r="D295" s="29" t="s">
        <v>1075</v>
      </c>
      <c r="E295" s="38" t="str">
        <f>VLOOKUP(D295,'Form Responses 1'!B:J,2,FALSE)</f>
        <v>Jl. Raya Kutoarjo-Kebumen, Desa Kaliputih, Kecamatan Kutowinangun, Kabupaten Kebumen</v>
      </c>
      <c r="F295" s="38" t="str">
        <f>VLOOKUP(D295,'Form Responses 1'!B:J,5,FALSE)</f>
        <v>Timbangan Elektronik</v>
      </c>
      <c r="G295" s="38" t="str">
        <f>VLOOKUP(D295,'Form Responses 1'!B:J,6,FALSE)</f>
        <v>ZAAGA</v>
      </c>
      <c r="H295" s="38" t="str">
        <f>VLOOKUP(D295,'Form Responses 1'!B:J,7,FALSE)</f>
        <v>-</v>
      </c>
      <c r="I295" s="38" t="str">
        <f>VLOOKUP(D295,'Form Responses 1'!B:J,8,FALSE)</f>
        <v>-</v>
      </c>
      <c r="J295" s="38" t="str">
        <f>VLOOKUP(D295,'Form Responses 1'!B:J,9,FALSE)</f>
        <v>50 kg / 10 g</v>
      </c>
      <c r="K295" s="23">
        <v>46146</v>
      </c>
      <c r="L295" s="30" t="s">
        <v>1324</v>
      </c>
      <c r="M295" s="28" t="b">
        <v>1</v>
      </c>
    </row>
    <row r="296" spans="1:13" ht="38.25">
      <c r="A296" s="29">
        <v>166</v>
      </c>
      <c r="B296" s="29" t="s">
        <v>1493</v>
      </c>
      <c r="C296" s="23">
        <v>46147</v>
      </c>
      <c r="D296" s="29" t="s">
        <v>1078</v>
      </c>
      <c r="E296" s="38" t="str">
        <f>VLOOKUP(D296,'Form Responses 1'!B:J,2,FALSE)</f>
        <v xml:space="preserve">Desa Jintung RT 02 RW 01, Kecamatan Ayah, Kabupaten Kebumen </v>
      </c>
      <c r="F296" s="38" t="str">
        <f>VLOOKUP(D296,'Form Responses 1'!B:J,5,FALSE)</f>
        <v>Timbangan Elektronik</v>
      </c>
      <c r="G296" s="38" t="str">
        <f>VLOOKUP(D296,'Form Responses 1'!B:J,6,FALSE)</f>
        <v>ACIS</v>
      </c>
      <c r="H296" s="38" t="str">
        <f>VLOOKUP(D296,'Form Responses 1'!B:J,7,FALSE)</f>
        <v>BC-5000</v>
      </c>
      <c r="I296" s="38" t="str">
        <f>VLOOKUP(D296,'Form Responses 1'!B:J,8,FALSE)</f>
        <v>0019</v>
      </c>
      <c r="J296" s="38" t="str">
        <f>VLOOKUP(D296,'Form Responses 1'!B:J,9,FALSE)</f>
        <v>5000 g / 1 g</v>
      </c>
      <c r="K296" s="23">
        <v>46147</v>
      </c>
      <c r="L296" s="30" t="s">
        <v>1324</v>
      </c>
      <c r="M296" s="28" t="b">
        <v>1</v>
      </c>
    </row>
    <row r="297" spans="1:13" ht="38.25">
      <c r="A297" s="29">
        <v>167</v>
      </c>
      <c r="B297" s="29" t="s">
        <v>1494</v>
      </c>
      <c r="C297" s="23">
        <v>46148</v>
      </c>
      <c r="D297" s="29" t="s">
        <v>1083</v>
      </c>
      <c r="E297" s="38" t="str">
        <f>VLOOKUP(D297,'Form Responses 1'!B:J,2,FALSE)</f>
        <v>Jl. Raya Karanganyar RT 02 RW 01, Desa Purwodeso, Kecamatan Sruweng, Kabupaten Kebumen</v>
      </c>
      <c r="F297" s="38" t="str">
        <f>VLOOKUP(D297,'Form Responses 1'!B:J,5,FALSE)</f>
        <v>Timbangan Elektronik</v>
      </c>
      <c r="G297" s="38" t="str">
        <f>VLOOKUP(D297,'Form Responses 1'!B:J,6,FALSE)</f>
        <v>Grains Scale</v>
      </c>
      <c r="H297" s="38" t="str">
        <f>VLOOKUP(D297,'Form Responses 1'!B:J,7,FALSE)</f>
        <v>XK3190A12</v>
      </c>
      <c r="I297" s="38" t="str">
        <f>VLOOKUP(D297,'Form Responses 1'!B:J,8,FALSE)</f>
        <v>GN1612128</v>
      </c>
      <c r="J297" s="38" t="str">
        <f>VLOOKUP(D297,'Form Responses 1'!B:J,9,FALSE)</f>
        <v>2000 kg / 5 kg</v>
      </c>
      <c r="K297" s="23">
        <v>46148</v>
      </c>
      <c r="L297" s="30" t="s">
        <v>1326</v>
      </c>
      <c r="M297" s="28" t="b">
        <v>1</v>
      </c>
    </row>
    <row r="298" spans="1:13" ht="38.25">
      <c r="D298" s="29" t="s">
        <v>1089</v>
      </c>
      <c r="E298" s="38" t="str">
        <f>VLOOKUP(D298,'Form Responses 1'!B:J,2,FALSE)</f>
        <v>Jl. Raya Karanganyar RT 02 RW 01, Desa Purwodeso, Kecamatan Sruweng, Kabupaten Kebumen</v>
      </c>
      <c r="F298" s="38" t="str">
        <f>VLOOKUP(D298,'Form Responses 1'!B:J,5,FALSE)</f>
        <v>Timbangan Elektronik</v>
      </c>
      <c r="G298" s="38" t="str">
        <f>VLOOKUP(D298,'Form Responses 1'!B:J,6,FALSE)</f>
        <v>Grains Scale</v>
      </c>
      <c r="H298" s="38" t="str">
        <f>VLOOKUP(D298,'Form Responses 1'!B:J,7,FALSE)</f>
        <v>XK3190A12</v>
      </c>
      <c r="I298" s="38" t="str">
        <f>VLOOKUP(D298,'Form Responses 1'!B:J,8,FALSE)</f>
        <v>GN1612068</v>
      </c>
      <c r="J298" s="38" t="str">
        <f>VLOOKUP(D298,'Form Responses 1'!B:J,9,FALSE)</f>
        <v>2000 kg / 1 kg</v>
      </c>
      <c r="K298" s="23"/>
      <c r="L298" s="30"/>
      <c r="M298" s="28" t="b">
        <v>1</v>
      </c>
    </row>
    <row r="299" spans="1:13" ht="38.25">
      <c r="D299" s="29" t="s">
        <v>1092</v>
      </c>
      <c r="E299" s="38" t="str">
        <f>VLOOKUP(D299,'Form Responses 1'!B:J,2,FALSE)</f>
        <v>Jl. Raya Karanganyar RT 02 RW 01, Desa Purwodeso, Kecamatan Sruweng, Kabupaten Kebumen</v>
      </c>
      <c r="F299" s="38" t="str">
        <f>VLOOKUP(D299,'Form Responses 1'!B:J,5,FALSE)</f>
        <v>Timbangan Elektronik</v>
      </c>
      <c r="G299" s="38" t="str">
        <f>VLOOKUP(D299,'Form Responses 1'!B:J,6,FALSE)</f>
        <v>SONIC</v>
      </c>
      <c r="H299" s="38" t="str">
        <f>VLOOKUP(D299,'Form Responses 1'!B:J,7,FALSE)</f>
        <v>-</v>
      </c>
      <c r="I299" s="38" t="str">
        <f>VLOOKUP(D299,'Form Responses 1'!B:J,8,FALSE)</f>
        <v>-</v>
      </c>
      <c r="J299" s="38" t="str">
        <f>VLOOKUP(D299,'Form Responses 1'!B:J,9,FALSE)</f>
        <v>1000 kg / 1 kg</v>
      </c>
      <c r="K299" s="23"/>
      <c r="L299" s="30"/>
      <c r="M299" s="28" t="b">
        <v>1</v>
      </c>
    </row>
    <row r="300" spans="1:13" ht="38.25">
      <c r="A300" s="29">
        <v>168</v>
      </c>
      <c r="B300" s="29" t="s">
        <v>1495</v>
      </c>
      <c r="C300" s="23">
        <v>46149</v>
      </c>
      <c r="D300" s="29" t="s">
        <v>1094</v>
      </c>
      <c r="E300" s="38" t="str">
        <f>VLOOKUP(D300,'Form Responses 1'!B:J,2,FALSE)</f>
        <v>Jl. Lingkar Selatan No. 16, Desa Kalitengah, Kecamatan Gombong, Kabupaten Kebumen</v>
      </c>
      <c r="F300" s="38" t="str">
        <f>VLOOKUP(D300,'Form Responses 1'!B:J,5,FALSE)</f>
        <v>Neraca Obat</v>
      </c>
      <c r="G300" s="38" t="str">
        <f>VLOOKUP(D300,'Form Responses 1'!B:J,6,FALSE)</f>
        <v>SNS</v>
      </c>
      <c r="H300" s="38" t="str">
        <f>VLOOKUP(D300,'Form Responses 1'!B:J,7,FALSE)</f>
        <v>-</v>
      </c>
      <c r="I300" s="38">
        <f>VLOOKUP(D300,'Form Responses 1'!B:J,8,FALSE)</f>
        <v>24512</v>
      </c>
      <c r="J300" s="38" t="str">
        <f>VLOOKUP(D300,'Form Responses 1'!B:J,9,FALSE)</f>
        <v>50 g / 5 mg</v>
      </c>
      <c r="K300" s="23">
        <v>46149</v>
      </c>
      <c r="L300" s="30" t="s">
        <v>1326</v>
      </c>
      <c r="M300" s="28" t="b">
        <v>1</v>
      </c>
    </row>
    <row r="301" spans="1:13" ht="25.5">
      <c r="A301" s="29">
        <v>169</v>
      </c>
      <c r="B301" s="29" t="s">
        <v>1496</v>
      </c>
      <c r="C301" s="23">
        <v>46150</v>
      </c>
      <c r="D301" s="29" t="s">
        <v>1098</v>
      </c>
      <c r="E301" s="38" t="str">
        <f>VLOOKUP(D301,'Form Responses 1'!B:J,2,FALSE)</f>
        <v>Jl. Kaleng No. 55, Meles, Adimulyo - Kebumen</v>
      </c>
      <c r="F301" s="38" t="str">
        <f>VLOOKUP(D301,'Form Responses 1'!B:J,5,FALSE)</f>
        <v>Timbangan Elektronik</v>
      </c>
      <c r="G301" s="38" t="str">
        <f>VLOOKUP(D301,'Form Responses 1'!B:J,6,FALSE)</f>
        <v>CHQ</v>
      </c>
      <c r="H301" s="38" t="str">
        <f>VLOOKUP(D301,'Form Responses 1'!B:J,7,FALSE)</f>
        <v>DJ602C</v>
      </c>
      <c r="I301" s="38" t="str">
        <f>VLOOKUP(D301,'Form Responses 1'!B:J,8,FALSE)</f>
        <v>-</v>
      </c>
      <c r="J301" s="38" t="str">
        <f>VLOOKUP(D301,'Form Responses 1'!B:J,9,FALSE)</f>
        <v xml:space="preserve">600 g / 0,01 g </v>
      </c>
      <c r="K301" s="23">
        <v>46150</v>
      </c>
      <c r="L301" s="30" t="s">
        <v>1322</v>
      </c>
      <c r="M301" s="28" t="b">
        <v>1</v>
      </c>
    </row>
    <row r="302" spans="1:13" ht="25.5">
      <c r="A302" s="29">
        <v>170</v>
      </c>
      <c r="B302" s="29" t="s">
        <v>1497</v>
      </c>
      <c r="C302" s="23">
        <v>46153</v>
      </c>
      <c r="D302" s="29" t="s">
        <v>1102</v>
      </c>
      <c r="E302" s="38" t="str">
        <f>VLOOKUP(D302,'Form Responses 1'!B:J,2,FALSE)</f>
        <v>Desa Rogodadi, Kecamatan Buayan, Kabupaten Kebumen</v>
      </c>
      <c r="F302" s="38" t="str">
        <f>VLOOKUP(D302,'Form Responses 1'!B:J,5,FALSE)</f>
        <v>Timbangan Elektronik</v>
      </c>
      <c r="G302" s="38" t="str">
        <f>VLOOKUP(D302,'Form Responses 1'!B:J,6,FALSE)</f>
        <v xml:space="preserve">Digitech </v>
      </c>
      <c r="H302" s="38" t="str">
        <f>VLOOKUP(D302,'Form Responses 1'!B:J,7,FALSE)</f>
        <v>DB-1S</v>
      </c>
      <c r="I302" s="38" t="str">
        <f>VLOOKUP(D302,'Form Responses 1'!B:J,8,FALSE)</f>
        <v>-</v>
      </c>
      <c r="J302" s="38" t="str">
        <f>VLOOKUP(D302,'Form Responses 1'!B:J,9,FALSE)</f>
        <v>150 kg / 10 g</v>
      </c>
      <c r="K302" s="23">
        <v>46153</v>
      </c>
      <c r="L302" s="30" t="s">
        <v>1326</v>
      </c>
      <c r="M302" s="28" t="b">
        <v>1</v>
      </c>
    </row>
    <row r="303" spans="1:13" ht="38.25">
      <c r="A303" s="29">
        <v>171</v>
      </c>
      <c r="B303" s="29" t="s">
        <v>1498</v>
      </c>
      <c r="C303" s="23">
        <v>46153</v>
      </c>
      <c r="D303" s="29" t="s">
        <v>1111</v>
      </c>
      <c r="E303" s="38" t="str">
        <f>VLOOKUP(D303,'Form Responses 1'!B:J,2,FALSE)</f>
        <v>Jalan Ahmad Yani No 22, Kecamatan Kebumen, Kabupaten Kebumen</v>
      </c>
      <c r="F303" s="38" t="str">
        <f>VLOOKUP(D303,'Form Responses 1'!B:J,5,FALSE)</f>
        <v>Timbangan Elektronik</v>
      </c>
      <c r="G303" s="38" t="str">
        <f>VLOOKUP(D303,'Form Responses 1'!B:J,6,FALSE)</f>
        <v>Pro-Quip</v>
      </c>
      <c r="H303" s="38" t="str">
        <f>VLOOKUP(D303,'Form Responses 1'!B:J,7,FALSE)</f>
        <v>TDS-30</v>
      </c>
      <c r="I303" s="38">
        <f>VLOOKUP(D303,'Form Responses 1'!B:J,8,FALSE)</f>
        <v>21002688</v>
      </c>
      <c r="J303" s="38" t="str">
        <f>VLOOKUP(D303,'Form Responses 1'!B:J,9,FALSE)</f>
        <v>30 kg / 5 g</v>
      </c>
      <c r="K303" s="23">
        <v>46153</v>
      </c>
      <c r="L303" s="30" t="s">
        <v>1326</v>
      </c>
      <c r="M303" s="28" t="b">
        <v>1</v>
      </c>
    </row>
    <row r="304" spans="1:13" ht="38.25">
      <c r="A304" s="29">
        <v>172</v>
      </c>
      <c r="B304" s="29" t="s">
        <v>1499</v>
      </c>
      <c r="C304" s="23">
        <v>46154</v>
      </c>
      <c r="D304" s="29" t="s">
        <v>1116</v>
      </c>
      <c r="E304" s="38" t="str">
        <f>VLOOKUP(D304,'Form Responses 1'!B:J,2,FALSE)</f>
        <v>Desa Karangduwur RT 004 RW 002, Kecamatan Ayah, Kabupaten Kebumen</v>
      </c>
      <c r="F304" s="38" t="str">
        <f>VLOOKUP(D304,'Form Responses 1'!B:J,5,FALSE)</f>
        <v>Timbangan Elektronik</v>
      </c>
      <c r="G304" s="38" t="str">
        <f>VLOOKUP(D304,'Form Responses 1'!B:J,6,FALSE)</f>
        <v>ACIS</v>
      </c>
      <c r="H304" s="38" t="str">
        <f>VLOOKUP(D304,'Form Responses 1'!B:J,7,FALSE)</f>
        <v>BC-500</v>
      </c>
      <c r="I304" s="38" t="str">
        <f>VLOOKUP(D304,'Form Responses 1'!B:J,8,FALSE)</f>
        <v>E250402230</v>
      </c>
      <c r="J304" s="38" t="str">
        <f>VLOOKUP(D304,'Form Responses 1'!B:J,9,FALSE)</f>
        <v>500 g /0,1 g</v>
      </c>
      <c r="K304" s="23">
        <v>46154</v>
      </c>
      <c r="L304" s="30" t="s">
        <v>1322</v>
      </c>
      <c r="M304" s="28" t="b">
        <v>1</v>
      </c>
    </row>
    <row r="305" spans="1:13" ht="38.25">
      <c r="A305" s="29">
        <v>173</v>
      </c>
      <c r="B305" s="29" t="s">
        <v>1500</v>
      </c>
      <c r="C305" s="23">
        <v>46163</v>
      </c>
      <c r="D305" s="29" t="s">
        <v>1124</v>
      </c>
      <c r="E305" s="38" t="str">
        <f>VLOOKUP(D305,'Form Responses 1'!B:J,2,FALSE)</f>
        <v>Desa Bendogarap RT 02 RW 01, Kecamatan Klirong, Kabupaten Kebumen</v>
      </c>
      <c r="F305" s="38" t="str">
        <f>VLOOKUP(D305,'Form Responses 1'!B:J,5,FALSE)</f>
        <v>Timbangan Elektronik</v>
      </c>
      <c r="G305" s="38" t="str">
        <f>VLOOKUP(D305,'Form Responses 1'!B:J,6,FALSE)</f>
        <v>ACIS</v>
      </c>
      <c r="H305" s="38" t="str">
        <f>VLOOKUP(D305,'Form Responses 1'!B:J,7,FALSE)</f>
        <v>BC-500</v>
      </c>
      <c r="I305" s="38">
        <f>VLOOKUP(D305,'Form Responses 1'!B:J,8,FALSE)</f>
        <v>128</v>
      </c>
      <c r="J305" s="38" t="str">
        <f>VLOOKUP(D305,'Form Responses 1'!B:J,9,FALSE)</f>
        <v>500 g / 0,1 g</v>
      </c>
      <c r="K305" s="23">
        <v>46162</v>
      </c>
      <c r="L305" s="30" t="s">
        <v>1326</v>
      </c>
      <c r="M305" s="28" t="b">
        <v>1</v>
      </c>
    </row>
    <row r="306" spans="1:13" ht="51">
      <c r="A306" s="29">
        <v>174</v>
      </c>
      <c r="B306" s="29" t="s">
        <v>1501</v>
      </c>
      <c r="C306" s="23">
        <v>46164</v>
      </c>
      <c r="D306" s="29" t="s">
        <v>1120</v>
      </c>
      <c r="E306" s="38" t="str">
        <f>VLOOKUP(D306,'Form Responses 1'!B:J,2,FALSE)</f>
        <v>Jl. Kutoarjo No. 70 (depan Pasar Selang), Desa Adikarso, Kecamatan Kebumen, Kabupaten Kebumen</v>
      </c>
      <c r="F306" s="38" t="str">
        <f>VLOOKUP(D306,'Form Responses 1'!B:J,5,FALSE)</f>
        <v>Neraca Obat</v>
      </c>
      <c r="G306" s="38" t="str">
        <f>VLOOKUP(D306,'Form Responses 1'!B:J,6,FALSE)</f>
        <v xml:space="preserve">NK </v>
      </c>
      <c r="H306" s="38" t="str">
        <f>VLOOKUP(D306,'Form Responses 1'!B:J,7,FALSE)</f>
        <v>-</v>
      </c>
      <c r="I306" s="38">
        <f>VLOOKUP(D306,'Form Responses 1'!B:J,8,FALSE)</f>
        <v>77420</v>
      </c>
      <c r="J306" s="38" t="str">
        <f>VLOOKUP(D306,'Form Responses 1'!B:J,9,FALSE)</f>
        <v>50 g / 25 mg</v>
      </c>
      <c r="K306" s="23"/>
      <c r="L306" s="30" t="s">
        <v>1326</v>
      </c>
      <c r="M306" s="28" t="b">
        <v>1</v>
      </c>
    </row>
    <row r="307" spans="1:13" ht="38.25">
      <c r="A307" s="29">
        <v>175</v>
      </c>
      <c r="B307" s="29" t="s">
        <v>1502</v>
      </c>
      <c r="C307" s="23">
        <v>46167</v>
      </c>
      <c r="D307" s="29" t="s">
        <v>1127</v>
      </c>
      <c r="E307" s="38" t="str">
        <f>VLOOKUP(D307,'Form Responses 1'!B:J,2,FALSE)</f>
        <v>Desa Semali RT 02 RW 02, Kecamatan Sempor, Kabupaten Kebumen</v>
      </c>
      <c r="F307" s="38" t="str">
        <f>VLOOKUP(D307,'Form Responses 1'!B:J,5,FALSE)</f>
        <v>Timbangan Elektronik</v>
      </c>
      <c r="G307" s="38" t="str">
        <f>VLOOKUP(D307,'Form Responses 1'!B:J,6,FALSE)</f>
        <v>Acis</v>
      </c>
      <c r="H307" s="38" t="str">
        <f>VLOOKUP(D307,'Form Responses 1'!B:J,7,FALSE)</f>
        <v>BC500</v>
      </c>
      <c r="I307" s="38" t="str">
        <f>VLOOKUP(D307,'Form Responses 1'!B:J,8,FALSE)</f>
        <v>C220801244</v>
      </c>
      <c r="J307" s="38" t="str">
        <f>VLOOKUP(D307,'Form Responses 1'!B:J,9,FALSE)</f>
        <v>500 g / 0,1 g</v>
      </c>
      <c r="K307" s="23">
        <v>46167</v>
      </c>
      <c r="L307" s="30" t="s">
        <v>1322</v>
      </c>
      <c r="M307" s="28" t="b">
        <v>1</v>
      </c>
    </row>
    <row r="308" spans="1:13" ht="38.25">
      <c r="A308" s="29">
        <v>176</v>
      </c>
      <c r="B308" s="29" t="s">
        <v>1503</v>
      </c>
      <c r="C308" s="34">
        <v>46168</v>
      </c>
      <c r="D308" s="29" t="s">
        <v>1132</v>
      </c>
      <c r="E308" s="38" t="str">
        <f>VLOOKUP(D308,'Form Responses 1'!B:J,2,FALSE)</f>
        <v xml:space="preserve">Dukuh Bantar Lebak RT 5 RW 1, Desa Sukomulyo, Kecamatan Rowokele, Kabupaten Kebumen </v>
      </c>
      <c r="F308" s="38" t="str">
        <f>VLOOKUP(D308,'Form Responses 1'!B:J,5,FALSE)</f>
        <v>Timbangan Sentisimal</v>
      </c>
      <c r="G308" s="38" t="str">
        <f>VLOOKUP(D308,'Form Responses 1'!B:J,6,FALSE)</f>
        <v xml:space="preserve">PDS </v>
      </c>
      <c r="H308" s="38" t="str">
        <f>VLOOKUP(D308,'Form Responses 1'!B:J,7,FALSE)</f>
        <v>-</v>
      </c>
      <c r="I308" s="38">
        <f>VLOOKUP(D308,'Form Responses 1'!B:J,8,FALSE)</f>
        <v>120438</v>
      </c>
      <c r="J308" s="38" t="str">
        <f>VLOOKUP(D308,'Form Responses 1'!B:J,9,FALSE)</f>
        <v>300 kg / 100 g</v>
      </c>
      <c r="K308" s="23">
        <v>46167</v>
      </c>
      <c r="L308" s="30" t="s">
        <v>1322</v>
      </c>
      <c r="M308" s="28" t="b">
        <v>1</v>
      </c>
    </row>
    <row r="309" spans="1:13" ht="38.25">
      <c r="D309" s="29" t="s">
        <v>1135</v>
      </c>
      <c r="E309" s="38" t="str">
        <f>VLOOKUP(D309,'Form Responses 1'!B:J,2,FALSE)</f>
        <v xml:space="preserve">Dukuh Bantar Lebak RT 5 RW 1, Desa Sukomulyo, Kecamatan Rowokele, Kabupaten Kebumen </v>
      </c>
      <c r="F309" s="38" t="str">
        <f>VLOOKUP(D309,'Form Responses 1'!B:J,5,FALSE)</f>
        <v>Timbangan Sentisimal</v>
      </c>
      <c r="G309" s="38" t="str">
        <f>VLOOKUP(D309,'Form Responses 1'!B:J,6,FALSE)</f>
        <v>CK</v>
      </c>
      <c r="H309" s="38" t="str">
        <f>VLOOKUP(D309,'Form Responses 1'!B:J,7,FALSE)</f>
        <v>-</v>
      </c>
      <c r="I309" s="38">
        <f>VLOOKUP(D309,'Form Responses 1'!B:J,8,FALSE)</f>
        <v>170181</v>
      </c>
      <c r="J309" s="38" t="str">
        <f>VLOOKUP(D309,'Form Responses 1'!B:J,9,FALSE)</f>
        <v>300 kg / 100 g</v>
      </c>
      <c r="K309" s="23"/>
      <c r="L309" s="30"/>
      <c r="M309" s="28" t="b">
        <v>1</v>
      </c>
    </row>
    <row r="310" spans="1:13" ht="38.25">
      <c r="D310" s="29" t="s">
        <v>1137</v>
      </c>
      <c r="E310" s="38" t="str">
        <f>VLOOKUP(D310,'Form Responses 1'!B:J,2,FALSE)</f>
        <v xml:space="preserve">Dukuh Bantar Lebak RT 5 RW 1, Desa Sukomulyo, Kecamatan Rowokele, Kabupaten Kebumen </v>
      </c>
      <c r="F310" s="38" t="str">
        <f>VLOOKUP(D310,'Form Responses 1'!B:J,5,FALSE)</f>
        <v>Timbangan Sentisimal</v>
      </c>
      <c r="G310" s="38" t="str">
        <f>VLOOKUP(D310,'Form Responses 1'!B:J,6,FALSE)</f>
        <v>SSS</v>
      </c>
      <c r="H310" s="38" t="str">
        <f>VLOOKUP(D310,'Form Responses 1'!B:J,7,FALSE)</f>
        <v>-</v>
      </c>
      <c r="I310" s="38">
        <f>VLOOKUP(D310,'Form Responses 1'!B:J,8,FALSE)</f>
        <v>25128</v>
      </c>
      <c r="J310" s="38" t="str">
        <f>VLOOKUP(D310,'Form Responses 1'!B:J,9,FALSE)</f>
        <v>150 kg / 50 g</v>
      </c>
      <c r="K310" s="23"/>
      <c r="L310" s="30"/>
      <c r="M310" s="28" t="b">
        <v>1</v>
      </c>
    </row>
    <row r="311" spans="1:13" ht="38.25">
      <c r="A311" s="29">
        <v>177</v>
      </c>
      <c r="B311" s="29" t="s">
        <v>1504</v>
      </c>
      <c r="C311" s="23">
        <v>46168</v>
      </c>
      <c r="D311" s="29" t="s">
        <v>1138</v>
      </c>
      <c r="E311" s="38" t="str">
        <f>VLOOKUP(D311,'Form Responses 1'!B:J,2,FALSE)</f>
        <v>Dukuh Bantar Lebak RT 5 RW 1, Desa Sukomulyo, Kecamatan Rowokele, Kabupaten Kebumen</v>
      </c>
      <c r="F311" s="38" t="str">
        <f>VLOOKUP(D311,'Form Responses 1'!B:J,5,FALSE)</f>
        <v>Timbangan Pegas</v>
      </c>
      <c r="G311" s="38" t="str">
        <f>VLOOKUP(D311,'Form Responses 1'!B:J,6,FALSE)</f>
        <v>NHON HOA</v>
      </c>
      <c r="H311" s="38" t="str">
        <f>VLOOKUP(D311,'Form Responses 1'!B:J,7,FALSE)</f>
        <v>-</v>
      </c>
      <c r="I311" s="38" t="str">
        <f>VLOOKUP(D311,'Form Responses 1'!B:J,8,FALSE)</f>
        <v>-</v>
      </c>
      <c r="J311" s="38" t="str">
        <f>VLOOKUP(D311,'Form Responses 1'!B:J,9,FALSE)</f>
        <v>2 kg / 10 g</v>
      </c>
      <c r="K311" s="23">
        <v>46167</v>
      </c>
      <c r="L311" s="30" t="s">
        <v>1505</v>
      </c>
      <c r="M311" s="28" t="b">
        <v>1</v>
      </c>
    </row>
    <row r="312" spans="1:13" ht="38.25">
      <c r="D312" s="29" t="s">
        <v>1141</v>
      </c>
      <c r="E312" s="38" t="str">
        <f>VLOOKUP(D312,'Form Responses 1'!B:J,2,FALSE)</f>
        <v>Dukuh Bantar Lebak RT 5 RW 1, Desa Sukomulyo, Kecamatan Rowokele, Kabupaten Kebumen</v>
      </c>
      <c r="F312" s="38" t="str">
        <f>VLOOKUP(D312,'Form Responses 1'!B:J,5,FALSE)</f>
        <v>Timbangan Pegas</v>
      </c>
      <c r="G312" s="38" t="str">
        <f>VLOOKUP(D312,'Form Responses 1'!B:J,6,FALSE)</f>
        <v>REN HE</v>
      </c>
      <c r="H312" s="38" t="str">
        <f>VLOOKUP(D312,'Form Responses 1'!B:J,7,FALSE)</f>
        <v>NHS 2</v>
      </c>
      <c r="I312" s="38">
        <f>VLOOKUP(D312,'Form Responses 1'!B:J,8,FALSE)</f>
        <v>280040</v>
      </c>
      <c r="J312" s="38" t="str">
        <f>VLOOKUP(D312,'Form Responses 1'!B:J,9,FALSE)</f>
        <v>2 kg / 10 g</v>
      </c>
      <c r="K312" s="23"/>
      <c r="L312" s="30"/>
      <c r="M312" s="28" t="b">
        <v>0</v>
      </c>
    </row>
    <row r="313" spans="1:13" ht="38.25">
      <c r="D313" s="29" t="s">
        <v>1144</v>
      </c>
      <c r="E313" s="38" t="str">
        <f>VLOOKUP(D313,'Form Responses 1'!B:J,2,FALSE)</f>
        <v>Dukuh Bantar Lebak RT 5 RW 1, Desa Sukomulyo, Kecamatan Rowokele, Kabupaten Kebumen</v>
      </c>
      <c r="F313" s="38" t="str">
        <f>VLOOKUP(D313,'Form Responses 1'!B:J,5,FALSE)</f>
        <v>Timbangan Pegas</v>
      </c>
      <c r="G313" s="38" t="str">
        <f>VLOOKUP(D313,'Form Responses 1'!B:J,6,FALSE)</f>
        <v>REN HE</v>
      </c>
      <c r="H313" s="38" t="str">
        <f>VLOOKUP(D313,'Form Responses 1'!B:J,7,FALSE)</f>
        <v>NHS 2</v>
      </c>
      <c r="I313" s="38">
        <f>VLOOKUP(D313,'Form Responses 1'!B:J,8,FALSE)</f>
        <v>283516</v>
      </c>
      <c r="J313" s="38" t="str">
        <f>VLOOKUP(D313,'Form Responses 1'!B:J,9,FALSE)</f>
        <v>2 kg / 10 g</v>
      </c>
      <c r="K313" s="23"/>
      <c r="L313" s="30"/>
      <c r="M313" s="28" t="b">
        <v>0</v>
      </c>
    </row>
    <row r="314" spans="1:13" ht="38.25">
      <c r="D314" s="29" t="s">
        <v>1145</v>
      </c>
      <c r="E314" s="38" t="str">
        <f>VLOOKUP(D314,'Form Responses 1'!B:J,2,FALSE)</f>
        <v>Dukuh Bantar Lebak RT 5 RW 1, Desa Sukomulyo, Kecamatan Rowokele, Kabupaten Kebumen</v>
      </c>
      <c r="F314" s="38" t="str">
        <f>VLOOKUP(D314,'Form Responses 1'!B:J,5,FALSE)</f>
        <v>Timbangan Pegas</v>
      </c>
      <c r="G314" s="38" t="str">
        <f>VLOOKUP(D314,'Form Responses 1'!B:J,6,FALSE)</f>
        <v>REN HE</v>
      </c>
      <c r="H314" s="38" t="str">
        <f>VLOOKUP(D314,'Form Responses 1'!B:J,7,FALSE)</f>
        <v>NHS 2</v>
      </c>
      <c r="I314" s="38">
        <f>VLOOKUP(D314,'Form Responses 1'!B:J,8,FALSE)</f>
        <v>283611</v>
      </c>
      <c r="J314" s="38" t="str">
        <f>VLOOKUP(D314,'Form Responses 1'!B:J,9,FALSE)</f>
        <v>2 kg / 10 g</v>
      </c>
      <c r="K314" s="23"/>
      <c r="L314" s="30"/>
      <c r="M314" s="28" t="b">
        <v>0</v>
      </c>
    </row>
    <row r="315" spans="1:13" ht="38.25">
      <c r="D315" s="29" t="s">
        <v>1146</v>
      </c>
      <c r="E315" s="38" t="str">
        <f>VLOOKUP(D315,'Form Responses 1'!B:J,2,FALSE)</f>
        <v>Dukuh Bantar Lebak RT 5 RW 1, Desa Sukomulyo, Kecamatan Rowokele, Kabupaten Kebumen</v>
      </c>
      <c r="F315" s="38" t="str">
        <f>VLOOKUP(D315,'Form Responses 1'!B:J,5,FALSE)</f>
        <v>Timbangan Pegas</v>
      </c>
      <c r="G315" s="38" t="str">
        <f>VLOOKUP(D315,'Form Responses 1'!B:J,6,FALSE)</f>
        <v>CROWN</v>
      </c>
      <c r="H315" s="38" t="str">
        <f>VLOOKUP(D315,'Form Responses 1'!B:J,7,FALSE)</f>
        <v>-</v>
      </c>
      <c r="I315" s="38" t="str">
        <f>VLOOKUP(D315,'Form Responses 1'!B:J,8,FALSE)</f>
        <v>-</v>
      </c>
      <c r="J315" s="38" t="str">
        <f>VLOOKUP(D315,'Form Responses 1'!B:J,9,FALSE)</f>
        <v>2 kg / 10 g</v>
      </c>
      <c r="K315" s="23"/>
      <c r="L315" s="30"/>
      <c r="M315" s="28" t="b">
        <v>0</v>
      </c>
    </row>
    <row r="316" spans="1:13" ht="38.25">
      <c r="D316" s="29" t="s">
        <v>1148</v>
      </c>
      <c r="E316" s="38" t="str">
        <f>VLOOKUP(D316,'Form Responses 1'!B:J,2,FALSE)</f>
        <v>Dukuh Bantar Lebak RT 5 RW 1, Desa Sukomulyo, Kecamatan Rowokele, Kabupaten Kebumen</v>
      </c>
      <c r="F316" s="38" t="str">
        <f>VLOOKUP(D316,'Form Responses 1'!B:J,5,FALSE)</f>
        <v>Timbangan Pegas</v>
      </c>
      <c r="G316" s="38" t="str">
        <f>VLOOKUP(D316,'Form Responses 1'!B:J,6,FALSE)</f>
        <v>RENKMHE</v>
      </c>
      <c r="H316" s="38" t="str">
        <f>VLOOKUP(D316,'Form Responses 1'!B:J,7,FALSE)</f>
        <v>NHS-1</v>
      </c>
      <c r="I316" s="38">
        <f>VLOOKUP(D316,'Form Responses 1'!B:J,8,FALSE)</f>
        <v>5210020</v>
      </c>
      <c r="J316" s="38" t="str">
        <f>VLOOKUP(D316,'Form Responses 1'!B:J,9,FALSE)</f>
        <v>1 kg / 5 g</v>
      </c>
      <c r="K316" s="23"/>
      <c r="L316" s="30"/>
      <c r="M316" s="28" t="b">
        <v>0</v>
      </c>
    </row>
    <row r="317" spans="1:13" ht="38.25">
      <c r="D317" s="29" t="s">
        <v>1152</v>
      </c>
      <c r="E317" s="38" t="str">
        <f>VLOOKUP(D317,'Form Responses 1'!B:J,2,FALSE)</f>
        <v>Dukuh Bantar Lebak RT 5 RW 1, Desa Sukomulyo, Kecamatan Rowokele, Kabupaten Kebumen</v>
      </c>
      <c r="F317" s="38" t="str">
        <f>VLOOKUP(D317,'Form Responses 1'!B:J,5,FALSE)</f>
        <v>Timbangan Pegas</v>
      </c>
      <c r="G317" s="38" t="str">
        <f>VLOOKUP(D317,'Form Responses 1'!B:J,6,FALSE)</f>
        <v>RENKMHE</v>
      </c>
      <c r="H317" s="38" t="str">
        <f>VLOOKUP(D317,'Form Responses 1'!B:J,7,FALSE)</f>
        <v>NHS-1</v>
      </c>
      <c r="I317" s="38">
        <f>VLOOKUP(D317,'Form Responses 1'!B:J,8,FALSE)</f>
        <v>5210009</v>
      </c>
      <c r="J317" s="38" t="str">
        <f>VLOOKUP(D317,'Form Responses 1'!B:J,9,FALSE)</f>
        <v>1 kg / 5 g</v>
      </c>
      <c r="K317" s="23"/>
      <c r="L317" s="30"/>
      <c r="M317" s="28" t="b">
        <v>0</v>
      </c>
    </row>
    <row r="318" spans="1:13" ht="38.25">
      <c r="A318" s="29">
        <v>178</v>
      </c>
      <c r="B318" s="29" t="s">
        <v>1506</v>
      </c>
      <c r="C318" s="23">
        <v>46175</v>
      </c>
      <c r="D318" s="41" t="s">
        <v>1153</v>
      </c>
      <c r="E318" s="38" t="str">
        <f>VLOOKUP(D318,'Form Responses 1'!B:J,2,FALSE)</f>
        <v>Rogodadi RT 01/RW 04, Kecamatan Buayan, Kabupaten Kebumen</v>
      </c>
      <c r="F318" s="38" t="str">
        <f>VLOOKUP(D318,'Form Responses 1'!B:J,5,FALSE)</f>
        <v>Timbangan Elektronik</v>
      </c>
      <c r="G318" s="38" t="str">
        <f>VLOOKUP(D318,'Form Responses 1'!B:J,6,FALSE)</f>
        <v xml:space="preserve">DIGITECH DB-1S </v>
      </c>
      <c r="H318" s="38">
        <f>VLOOKUP(D318,'Form Responses 1'!B:J,7,FALSE)</f>
        <v>0</v>
      </c>
      <c r="I318" s="38" t="str">
        <f>VLOOKUP(D318,'Form Responses 1'!B:J,8,FALSE)</f>
        <v>DB26018232</v>
      </c>
      <c r="J318" s="38" t="str">
        <f>VLOOKUP(D318,'Form Responses 1'!B:J,9,FALSE)</f>
        <v>150kg/10g</v>
      </c>
      <c r="K318" s="23">
        <v>46171</v>
      </c>
      <c r="L318" s="30" t="s">
        <v>1326</v>
      </c>
      <c r="M318" s="28" t="b">
        <v>1</v>
      </c>
    </row>
    <row r="319" spans="1:13" ht="25.5">
      <c r="A319" s="29">
        <v>179</v>
      </c>
      <c r="B319" s="29" t="s">
        <v>1507</v>
      </c>
      <c r="C319" s="23">
        <v>46175</v>
      </c>
      <c r="D319" s="41" t="s">
        <v>1159</v>
      </c>
      <c r="E319" s="38" t="str">
        <f>VLOOKUP(D319,'Form Responses 1'!B:J,2,FALSE)</f>
        <v>Jl. Pasar Tanjungsari RT 02/ RW 03, Tanjungsari, Petanahan</v>
      </c>
      <c r="F319" s="38" t="str">
        <f>VLOOKUP(D319,'Form Responses 1'!B:J,5,FALSE)</f>
        <v>Timbangan Elektronik</v>
      </c>
      <c r="G319" s="38" t="str">
        <f>VLOOKUP(D319,'Form Responses 1'!B:J,6,FALSE)</f>
        <v>ACIS</v>
      </c>
      <c r="H319" s="38" t="str">
        <f>VLOOKUP(D319,'Form Responses 1'!B:J,7,FALSE)</f>
        <v>BC 500</v>
      </c>
      <c r="I319" s="38" t="str">
        <f>VLOOKUP(D319,'Form Responses 1'!B:J,8,FALSE)</f>
        <v>C260301004</v>
      </c>
      <c r="J319" s="38" t="str">
        <f>VLOOKUP(D319,'Form Responses 1'!B:J,9,FALSE)</f>
        <v>500 g x 0.1 g</v>
      </c>
      <c r="K319" s="23">
        <v>46175</v>
      </c>
      <c r="L319" s="30" t="s">
        <v>1324</v>
      </c>
      <c r="M319" s="28" t="b">
        <v>1</v>
      </c>
    </row>
    <row r="320" spans="1:13" ht="38.25">
      <c r="A320" s="29">
        <v>180</v>
      </c>
      <c r="B320" s="29" t="s">
        <v>1508</v>
      </c>
      <c r="C320" s="23">
        <v>46175</v>
      </c>
      <c r="D320" s="41" t="s">
        <v>1165</v>
      </c>
      <c r="E320" s="38" t="str">
        <f>VLOOKUP(D320,'Form Responses 1'!B:J,2,FALSE)</f>
        <v>Jl.raya Mirit km 6,Desa mangunranan,kec Mirit,kab kebumen.</v>
      </c>
      <c r="F320" s="38" t="str">
        <f>VLOOKUP(D320,'Form Responses 1'!B:J,5,FALSE)</f>
        <v>Timbangan Elektronik</v>
      </c>
      <c r="G320" s="38" t="str">
        <f>VLOOKUP(D320,'Form Responses 1'!B:J,6,FALSE)</f>
        <v>Acis</v>
      </c>
      <c r="H320" s="38" t="str">
        <f>VLOOKUP(D320,'Form Responses 1'!B:J,7,FALSE)</f>
        <v>BC 500</v>
      </c>
      <c r="I320" s="38" t="str">
        <f>VLOOKUP(D320,'Form Responses 1'!B:J,8,FALSE)</f>
        <v>C260301001</v>
      </c>
      <c r="J320" s="38" t="str">
        <f>VLOOKUP(D320,'Form Responses 1'!B:J,9,FALSE)</f>
        <v>500 g x0,1g</v>
      </c>
      <c r="K320" s="23">
        <v>46175</v>
      </c>
      <c r="L320" s="30" t="s">
        <v>1324</v>
      </c>
      <c r="M320" s="28" t="b">
        <v>1</v>
      </c>
    </row>
    <row r="321" spans="1:13" ht="25.5">
      <c r="A321" s="29">
        <v>181</v>
      </c>
      <c r="B321" s="29" t="s">
        <v>1509</v>
      </c>
      <c r="C321" s="23">
        <v>46181</v>
      </c>
      <c r="D321" s="29" t="s">
        <v>1170</v>
      </c>
      <c r="E321" s="38" t="str">
        <f>VLOOKUP(D321,'Form Responses 1'!B:J,2,FALSE)</f>
        <v>Desa Sruweng, Kecamatan Sruweng, Kabupaten Kebumen</v>
      </c>
      <c r="F321" s="38" t="str">
        <f>VLOOKUP(D321,'Form Responses 1'!B:J,5,FALSE)</f>
        <v>Timbangan Elektronik</v>
      </c>
      <c r="G321" s="38" t="str">
        <f>VLOOKUP(D321,'Form Responses 1'!B:J,6,FALSE)</f>
        <v>SONIC</v>
      </c>
      <c r="H321" s="38" t="str">
        <f>VLOOKUP(D321,'Form Responses 1'!B:J,7,FALSE)</f>
        <v>A 12 E</v>
      </c>
      <c r="I321" s="38" t="str">
        <f>VLOOKUP(D321,'Form Responses 1'!B:J,8,FALSE)</f>
        <v>IMIWH9-1901000232</v>
      </c>
      <c r="J321" s="38" t="str">
        <f>VLOOKUP(D321,'Form Responses 1'!B:J,9,FALSE)</f>
        <v>7000 kg / 5 kg</v>
      </c>
      <c r="K321" s="23">
        <v>46181</v>
      </c>
      <c r="L321" s="30" t="s">
        <v>1326</v>
      </c>
      <c r="M321" s="28" t="b">
        <v>1</v>
      </c>
    </row>
    <row r="322" spans="1:13" ht="25.5">
      <c r="D322" s="29" t="s">
        <v>1176</v>
      </c>
      <c r="E322" s="38" t="str">
        <f>VLOOKUP(D322,'Form Responses 1'!B:J,2,FALSE)</f>
        <v>Desa Sruweng, Kecamatan Sruweng, Kabupaten Kebumen</v>
      </c>
      <c r="F322" s="38" t="str">
        <f>VLOOKUP(D322,'Form Responses 1'!B:J,5,FALSE)</f>
        <v>Timbangan Elektronik</v>
      </c>
      <c r="G322" s="38" t="str">
        <f>VLOOKUP(D322,'Form Responses 1'!B:J,6,FALSE)</f>
        <v>SONIC</v>
      </c>
      <c r="H322" s="38" t="str">
        <f>VLOOKUP(D322,'Form Responses 1'!B:J,7,FALSE)</f>
        <v>A 12 E</v>
      </c>
      <c r="I322" s="38" t="str">
        <f>VLOOKUP(D322,'Form Responses 1'!B:J,8,FALSE)</f>
        <v>-</v>
      </c>
      <c r="J322" s="38" t="str">
        <f>VLOOKUP(D322,'Form Responses 1'!B:J,9,FALSE)</f>
        <v>2000 kg / 1 kg</v>
      </c>
      <c r="K322" s="23">
        <v>46181</v>
      </c>
      <c r="L322" s="30" t="s">
        <v>1326</v>
      </c>
      <c r="M322" s="28" t="b">
        <v>1</v>
      </c>
    </row>
    <row r="323" spans="1:13" ht="38.25">
      <c r="A323" s="29">
        <v>182</v>
      </c>
      <c r="B323" s="29" t="s">
        <v>1510</v>
      </c>
      <c r="C323" s="23">
        <v>46182</v>
      </c>
      <c r="D323" s="29" t="s">
        <v>1177</v>
      </c>
      <c r="E323" s="38" t="str">
        <f>VLOOKUP(D323,'Form Responses 1'!B:J,2,FALSE)</f>
        <v>Jalan Soekarno Hatta Nomor 163, Kecamatan Kebumen, Kabupaten Kebumen</v>
      </c>
      <c r="F323" s="38" t="str">
        <f>VLOOKUP(D323,'Form Responses 1'!B:J,5,FALSE)</f>
        <v>Timbangan Sentisimal</v>
      </c>
      <c r="G323" s="38" t="str">
        <f>VLOOKUP(D323,'Form Responses 1'!B:J,6,FALSE)</f>
        <v>-</v>
      </c>
      <c r="H323" s="38" t="str">
        <f>VLOOKUP(D323,'Form Responses 1'!B:J,7,FALSE)</f>
        <v>-</v>
      </c>
      <c r="I323" s="38" t="str">
        <f>VLOOKUP(D323,'Form Responses 1'!B:J,8,FALSE)</f>
        <v>-</v>
      </c>
      <c r="J323" s="38" t="str">
        <f>VLOOKUP(D323,'Form Responses 1'!B:J,9,FALSE)</f>
        <v>500 kg / 100 g</v>
      </c>
      <c r="K323" s="23">
        <v>46182</v>
      </c>
      <c r="L323" s="30" t="s">
        <v>1322</v>
      </c>
      <c r="M323" s="28" t="b">
        <v>1</v>
      </c>
    </row>
    <row r="324" spans="1:13" ht="25.5">
      <c r="A324" s="29">
        <v>183</v>
      </c>
      <c r="B324" s="29" t="s">
        <v>1511</v>
      </c>
      <c r="C324" s="23">
        <v>46182</v>
      </c>
      <c r="D324" s="29" t="s">
        <v>1181</v>
      </c>
      <c r="E324" s="38" t="str">
        <f>VLOOKUP(D324,'Form Responses 1'!B:J,2,FALSE)</f>
        <v>Jl. Kejayan no. 93A, Kecamatan Kebumen, Kabupaten Kebumen</v>
      </c>
      <c r="F324" s="38" t="str">
        <f>VLOOKUP(D324,'Form Responses 1'!B:J,5,FALSE)</f>
        <v>Neraca Obat</v>
      </c>
      <c r="G324" s="38" t="str">
        <f>VLOOKUP(D324,'Form Responses 1'!B:J,6,FALSE)</f>
        <v>P.G.B</v>
      </c>
      <c r="H324" s="38" t="str">
        <f>VLOOKUP(D324,'Form Responses 1'!B:J,7,FALSE)</f>
        <v>-</v>
      </c>
      <c r="I324" s="38">
        <f>VLOOKUP(D324,'Form Responses 1'!B:J,8,FALSE)</f>
        <v>15255</v>
      </c>
      <c r="J324" s="38" t="str">
        <f>VLOOKUP(D324,'Form Responses 1'!B:J,9,FALSE)</f>
        <v>50 g / 25 mg</v>
      </c>
      <c r="K324" s="23">
        <v>46182</v>
      </c>
      <c r="L324" s="30" t="s">
        <v>1326</v>
      </c>
      <c r="M324" s="28" t="b">
        <v>1</v>
      </c>
    </row>
    <row r="325" spans="1:13" ht="38.25">
      <c r="A325" s="29">
        <v>184</v>
      </c>
      <c r="B325" s="29" t="s">
        <v>1512</v>
      </c>
      <c r="C325" s="23">
        <v>46191</v>
      </c>
      <c r="D325" s="29" t="s">
        <v>1185</v>
      </c>
      <c r="E325" s="38" t="str">
        <f>VLOOKUP(D325,'Form Responses 1'!B:J,2,FALSE)</f>
        <v>Jl. Karanggayam RT 03 RW 04 Kelurahan Plarangan, Kecamatan Karanganyar, Kabupaten Kebumen</v>
      </c>
      <c r="F325" s="38" t="str">
        <f>VLOOKUP(D325,'Form Responses 1'!B:J,5,FALSE)</f>
        <v>Timbangan Elektronik</v>
      </c>
      <c r="G325" s="38" t="str">
        <f>VLOOKUP(D325,'Form Responses 1'!B:J,6,FALSE)</f>
        <v>NANKAI</v>
      </c>
      <c r="H325" s="38" t="str">
        <f>VLOOKUP(D325,'Form Responses 1'!B:J,7,FALSE)</f>
        <v>ART: 177-08</v>
      </c>
      <c r="I325" s="38" t="str">
        <f>VLOOKUP(D325,'Form Responses 1'!B:J,8,FALSE)</f>
        <v>-</v>
      </c>
      <c r="J325" s="38" t="str">
        <f>VLOOKUP(D325,'Form Responses 1'!B:J,9,FALSE)</f>
        <v>150 kg / 20 g</v>
      </c>
      <c r="K325" s="23">
        <v>46191</v>
      </c>
      <c r="L325" s="30" t="s">
        <v>1326</v>
      </c>
      <c r="M325" s="28" t="b">
        <v>1</v>
      </c>
    </row>
    <row r="326" spans="1:13" ht="38.25">
      <c r="A326" s="29">
        <v>185</v>
      </c>
      <c r="B326" s="29" t="s">
        <v>1513</v>
      </c>
      <c r="C326" s="23">
        <v>46196</v>
      </c>
      <c r="D326" s="29" t="s">
        <v>1193</v>
      </c>
      <c r="E326" s="38" t="str">
        <f>VLOOKUP(D326,'Form Responses 1'!B:J,2,FALSE)</f>
        <v xml:space="preserve">Pasar Hewan Gombong, Desa Semanding, Kecamatan Gombong, Kabupaten Kebumen </v>
      </c>
      <c r="F326" s="38" t="str">
        <f>VLOOKUP(D326,'Form Responses 1'!B:J,5,FALSE)</f>
        <v>Timbangan Elektronik</v>
      </c>
      <c r="G326" s="38" t="str">
        <f>VLOOKUP(D326,'Form Responses 1'!B:J,6,FALSE)</f>
        <v>CAS</v>
      </c>
      <c r="H326" s="38" t="str">
        <f>VLOOKUP(D326,'Form Responses 1'!B:J,7,FALSE)</f>
        <v>CI-2001 AS</v>
      </c>
      <c r="I326" s="38">
        <f>VLOOKUP(D326,'Form Responses 1'!B:J,8,FALSE)</f>
        <v>140500234</v>
      </c>
      <c r="J326" s="38" t="str">
        <f>VLOOKUP(D326,'Form Responses 1'!B:J,9,FALSE)</f>
        <v>2000 kg / 1 kg</v>
      </c>
      <c r="K326" s="23">
        <v>46195</v>
      </c>
      <c r="L326" s="30" t="s">
        <v>1326</v>
      </c>
      <c r="M326" s="28" t="b">
        <v>1</v>
      </c>
    </row>
    <row r="327" spans="1:13" ht="38.25">
      <c r="A327" s="29">
        <v>186</v>
      </c>
      <c r="B327" s="29" t="s">
        <v>1514</v>
      </c>
      <c r="C327" s="23">
        <v>46196</v>
      </c>
      <c r="D327" s="29" t="s">
        <v>1197</v>
      </c>
      <c r="E327" s="38" t="str">
        <f>VLOOKUP(D327,'Form Responses 1'!B:J,2,FALSE)</f>
        <v>Pasar Hewan Argopeni, Desa Argopeni, Kecamatan Kebumen, Kabupaten Kebumen</v>
      </c>
      <c r="F327" s="38" t="str">
        <f>VLOOKUP(D327,'Form Responses 1'!B:J,5,FALSE)</f>
        <v>Timbangan Elektronik</v>
      </c>
      <c r="G327" s="38" t="str">
        <f>VLOOKUP(D327,'Form Responses 1'!B:J,6,FALSE)</f>
        <v>SONIC</v>
      </c>
      <c r="H327" s="38" t="str">
        <f>VLOOKUP(D327,'Form Responses 1'!B:J,7,FALSE)</f>
        <v>A12E</v>
      </c>
      <c r="I327" s="38" t="str">
        <f>VLOOKUP(D327,'Form Responses 1'!B:J,8,FALSE)</f>
        <v>INS-M1704921</v>
      </c>
      <c r="J327" s="38" t="str">
        <f>VLOOKUP(D327,'Form Responses 1'!B:J,9,FALSE)</f>
        <v>2000 kg / 1 kg</v>
      </c>
      <c r="K327" s="23">
        <v>46195</v>
      </c>
      <c r="L327" s="30" t="s">
        <v>1326</v>
      </c>
      <c r="M327" s="28" t="b">
        <v>1</v>
      </c>
    </row>
    <row r="328" spans="1:13" ht="38.25">
      <c r="A328" s="29">
        <v>187</v>
      </c>
      <c r="B328" s="29" t="s">
        <v>1515</v>
      </c>
      <c r="C328" s="23">
        <v>46197</v>
      </c>
      <c r="D328" s="29" t="s">
        <v>1200</v>
      </c>
      <c r="E328" s="38" t="str">
        <f>VLOOKUP(D328,'Form Responses 1'!B:J,2,FALSE)</f>
        <v>Jl. Puring-Petanahan RT 02 RW 03, Desa Karangduwur, Kecamatan Petanahan, Kabupaten Kebumen</v>
      </c>
      <c r="F328" s="38" t="str">
        <f>VLOOKUP(D328,'Form Responses 1'!B:J,5,FALSE)</f>
        <v>Neraca Obat</v>
      </c>
      <c r="G328" s="38" t="str">
        <f>VLOOKUP(D328,'Form Responses 1'!B:J,6,FALSE)</f>
        <v>SNS</v>
      </c>
      <c r="H328" s="38" t="str">
        <f>VLOOKUP(D328,'Form Responses 1'!B:J,7,FALSE)</f>
        <v>-</v>
      </c>
      <c r="I328" s="38">
        <f>VLOOKUP(D328,'Form Responses 1'!B:J,8,FALSE)</f>
        <v>22350</v>
      </c>
      <c r="J328" s="38" t="str">
        <f>VLOOKUP(D328,'Form Responses 1'!B:J,9,FALSE)</f>
        <v>50 g / 25 mg</v>
      </c>
      <c r="K328" s="23">
        <v>46196</v>
      </c>
      <c r="L328" s="30" t="s">
        <v>1326</v>
      </c>
      <c r="M328" s="28" t="b">
        <v>1</v>
      </c>
    </row>
    <row r="329" spans="1:13" ht="38.25">
      <c r="A329" s="29">
        <v>188</v>
      </c>
      <c r="B329" s="29" t="s">
        <v>1516</v>
      </c>
      <c r="C329" s="23">
        <v>46199</v>
      </c>
      <c r="D329" s="29" t="s">
        <v>1203</v>
      </c>
      <c r="E329" s="38" t="str">
        <f>VLOOKUP(D329,'Form Responses 1'!B:J,2,FALSE)</f>
        <v>Jalan Letjend Suprapto 18, Kecamatan Kebumen, Kabupaten Kebumen</v>
      </c>
      <c r="F329" s="38" t="str">
        <f>VLOOKUP(D329,'Form Responses 1'!B:J,5,FALSE)</f>
        <v>Neraca Obat</v>
      </c>
      <c r="G329" s="38" t="str">
        <f>VLOOKUP(D329,'Form Responses 1'!B:J,6,FALSE)</f>
        <v>Mekar</v>
      </c>
      <c r="H329" s="38" t="str">
        <f>VLOOKUP(D329,'Form Responses 1'!B:J,7,FALSE)</f>
        <v>-</v>
      </c>
      <c r="I329" s="38">
        <f>VLOOKUP(D329,'Form Responses 1'!B:J,8,FALSE)</f>
        <v>110235</v>
      </c>
      <c r="J329" s="38" t="str">
        <f>VLOOKUP(D329,'Form Responses 1'!B:J,9,FALSE)</f>
        <v>50 g / 25 mg</v>
      </c>
      <c r="K329" s="23">
        <v>46199</v>
      </c>
      <c r="L329" s="30" t="s">
        <v>1326</v>
      </c>
      <c r="M329" s="28" t="b">
        <v>1</v>
      </c>
    </row>
    <row r="330" spans="1:13" ht="38.25">
      <c r="A330" s="29">
        <v>189</v>
      </c>
      <c r="B330" s="29" t="s">
        <v>1517</v>
      </c>
      <c r="C330" s="23">
        <v>46199</v>
      </c>
      <c r="D330" s="29" t="s">
        <v>1207</v>
      </c>
      <c r="E330" s="38" t="str">
        <f>VLOOKUP(D330,'Form Responses 1'!B:J,2,FALSE)</f>
        <v>Dusun Kapung Wetan RT 03 RW 01, Desa Ambalresmi, Kecamatan Ambal, Kabupaten Kebumen</v>
      </c>
      <c r="F330" s="38" t="str">
        <f>VLOOKUP(D330,'Form Responses 1'!B:J,5,FALSE)</f>
        <v>Timbangan Elektronik</v>
      </c>
      <c r="G330" s="38" t="str">
        <f>VLOOKUP(D330,'Form Responses 1'!B:J,6,FALSE)</f>
        <v>ACIS</v>
      </c>
      <c r="H330" s="38" t="str">
        <f>VLOOKUP(D330,'Form Responses 1'!B:J,7,FALSE)</f>
        <v>BC 500</v>
      </c>
      <c r="I330" s="38" t="str">
        <f>VLOOKUP(D330,'Form Responses 1'!B:J,8,FALSE)</f>
        <v>C260301054</v>
      </c>
      <c r="J330" s="38" t="str">
        <f>VLOOKUP(D330,'Form Responses 1'!B:J,9,FALSE)</f>
        <v>500 g / 0,1 g</v>
      </c>
      <c r="K330" s="23">
        <v>46199</v>
      </c>
      <c r="L330" s="30" t="s">
        <v>1322</v>
      </c>
      <c r="M330" s="28" t="b">
        <v>1</v>
      </c>
    </row>
    <row r="331" spans="1:13" ht="38.25">
      <c r="A331" s="29">
        <v>190</v>
      </c>
      <c r="B331" s="29" t="s">
        <v>1518</v>
      </c>
      <c r="C331" s="23">
        <v>46203</v>
      </c>
      <c r="D331" s="29" t="s">
        <v>1216</v>
      </c>
      <c r="E331" s="38" t="str">
        <f>VLOOKUP(D331,'Form Responses 1'!B:J,2,FALSE)</f>
        <v>Jl. Yos Sudarso, Gombong, Kec. Gombong, Kabupaten Kebumen, Jawa Tengah 54411</v>
      </c>
      <c r="F331" s="38" t="str">
        <f>VLOOKUP(D331,'Form Responses 1'!B:J,5,FALSE)</f>
        <v>Timbangan Elektronik</v>
      </c>
      <c r="G331" s="38" t="str">
        <f>VLOOKUP(D331,'Form Responses 1'!B:J,6,FALSE)</f>
        <v>ACIS</v>
      </c>
      <c r="H331" s="38" t="str">
        <f>VLOOKUP(D331,'Form Responses 1'!B:J,7,FALSE)</f>
        <v>BC-500</v>
      </c>
      <c r="I331" s="38" t="str">
        <f>VLOOKUP(D331,'Form Responses 1'!B:J,8,FALSE)</f>
        <v>C260301129</v>
      </c>
      <c r="J331" s="38" t="str">
        <f>VLOOKUP(D331,'Form Responses 1'!B:J,9,FALSE)</f>
        <v>500 gram / 0,1 gram</v>
      </c>
      <c r="K331" s="23">
        <v>46203</v>
      </c>
      <c r="L331" s="30" t="s">
        <v>1322</v>
      </c>
      <c r="M331" s="28" t="b">
        <v>1</v>
      </c>
    </row>
    <row r="332" spans="1:13" ht="25.5">
      <c r="A332" s="29">
        <v>191</v>
      </c>
      <c r="B332" s="29" t="s">
        <v>1519</v>
      </c>
      <c r="C332" s="23">
        <v>46204</v>
      </c>
      <c r="D332" s="29" t="s">
        <v>1211</v>
      </c>
      <c r="E332" s="38" t="str">
        <f>VLOOKUP(D332,'Form Responses 1'!B:J,2,FALSE)</f>
        <v xml:space="preserve">Jl. Stasiun, Panjer,  Kecamatan Kebumen, Kabupaten Kebumen  </v>
      </c>
      <c r="F332" s="38" t="str">
        <f>VLOOKUP(D332,'Form Responses 1'!B:J,5,FALSE)</f>
        <v>Timbangan Sentisimal</v>
      </c>
      <c r="G332" s="38" t="str">
        <f>VLOOKUP(D332,'Form Responses 1'!B:J,6,FALSE)</f>
        <v>PRESISIE</v>
      </c>
      <c r="H332" s="38" t="str">
        <f>VLOOKUP(D332,'Form Responses 1'!B:J,7,FALSE)</f>
        <v>-</v>
      </c>
      <c r="I332" s="38" t="str">
        <f>VLOOKUP(D332,'Form Responses 1'!B:J,8,FALSE)</f>
        <v>-</v>
      </c>
      <c r="J332" s="38" t="str">
        <f>VLOOKUP(D332,'Form Responses 1'!B:J,9,FALSE)</f>
        <v>500 kg / 0,2 kg</v>
      </c>
      <c r="K332" s="23">
        <v>46202</v>
      </c>
      <c r="L332" s="30" t="s">
        <v>1322</v>
      </c>
      <c r="M332" s="28" t="b">
        <v>1</v>
      </c>
    </row>
    <row r="333" spans="1:13" ht="25.5">
      <c r="A333" s="29">
        <v>192</v>
      </c>
      <c r="B333" s="29" t="s">
        <v>1520</v>
      </c>
      <c r="C333" s="23">
        <v>46205</v>
      </c>
      <c r="D333" s="29" t="s">
        <v>1221</v>
      </c>
      <c r="E333" s="38" t="str">
        <f>VLOOKUP(D333,'Form Responses 1'!B:J,2,FALSE)</f>
        <v xml:space="preserve">Klegenwonosari rt 01/rw 04, Klirong-Kebumen </v>
      </c>
      <c r="F333" s="38" t="str">
        <f>VLOOKUP(D333,'Form Responses 1'!B:J,5,FALSE)</f>
        <v>Neraca Obat</v>
      </c>
      <c r="G333" s="38" t="str">
        <f>VLOOKUP(D333,'Form Responses 1'!B:J,6,FALSE)</f>
        <v>SNS</v>
      </c>
      <c r="H333" s="38" t="str">
        <f>VLOOKUP(D333,'Form Responses 1'!B:J,7,FALSE)</f>
        <v>-</v>
      </c>
      <c r="I333" s="38">
        <f>VLOOKUP(D333,'Form Responses 1'!B:J,8,FALSE)</f>
        <v>21438</v>
      </c>
      <c r="J333" s="38" t="str">
        <f>VLOOKUP(D333,'Form Responses 1'!B:J,9,FALSE)</f>
        <v>50g/25mg</v>
      </c>
      <c r="K333" s="23">
        <v>46205</v>
      </c>
      <c r="L333" s="30" t="s">
        <v>1326</v>
      </c>
      <c r="M333" s="28" t="b">
        <v>1</v>
      </c>
    </row>
    <row r="334" spans="1:13" ht="25.5">
      <c r="A334" s="29">
        <v>193</v>
      </c>
      <c r="B334" s="29" t="s">
        <v>1521</v>
      </c>
      <c r="C334" s="23">
        <v>46205</v>
      </c>
      <c r="D334" s="29" t="s">
        <v>1225</v>
      </c>
      <c r="E334" s="38" t="str">
        <f>VLOOKUP(D334,'Form Responses 1'!B:J,2,FALSE)</f>
        <v>Jl. Stasiun, Panjer, Kecamatan Kebumen, Kabupaten Kebumen</v>
      </c>
      <c r="F334" s="38" t="str">
        <f>VLOOKUP(D334,'Form Responses 1'!B:J,5,FALSE)</f>
        <v>Timbangan Sentisimal</v>
      </c>
      <c r="G334" s="38" t="str">
        <f>VLOOKUP(D334,'Form Responses 1'!B:J,6,FALSE)</f>
        <v>PUTERA</v>
      </c>
      <c r="H334" s="38" t="str">
        <f>VLOOKUP(D334,'Form Responses 1'!B:J,7,FALSE)</f>
        <v>-</v>
      </c>
      <c r="I334" s="38">
        <f>VLOOKUP(D334,'Form Responses 1'!B:J,8,FALSE)</f>
        <v>170173</v>
      </c>
      <c r="J334" s="38" t="str">
        <f>VLOOKUP(D334,'Form Responses 1'!B:J,9,FALSE)</f>
        <v>300 kg / 100 g</v>
      </c>
      <c r="K334" s="23">
        <v>46205</v>
      </c>
      <c r="L334" s="30" t="s">
        <v>1322</v>
      </c>
      <c r="M334" s="28" t="b">
        <v>1</v>
      </c>
    </row>
    <row r="335" spans="1:13" ht="51">
      <c r="A335" s="29">
        <v>194</v>
      </c>
      <c r="B335" s="29" t="s">
        <v>1522</v>
      </c>
      <c r="C335" s="23">
        <v>46205</v>
      </c>
      <c r="D335" s="29" t="s">
        <v>1228</v>
      </c>
      <c r="E335" s="38" t="str">
        <f>VLOOKUP(D335,'Form Responses 1'!B:J,2,FALSE)</f>
        <v>Jl. K.H.Hasyim Asy’ari KM 5 Dk.Robahan Rt.01 Rw.07 Ds.Kalirejo Kec.Kebumen Kab.Kebumen</v>
      </c>
      <c r="F335" s="38" t="str">
        <f>VLOOKUP(D335,'Form Responses 1'!B:J,5,FALSE)</f>
        <v>Timbangan Elektronik</v>
      </c>
      <c r="G335" s="38" t="str">
        <f>VLOOKUP(D335,'Form Responses 1'!B:J,6,FALSE)</f>
        <v>Fortuno</v>
      </c>
      <c r="H335" s="38" t="str">
        <f>VLOOKUP(D335,'Form Responses 1'!B:J,7,FALSE)</f>
        <v>JKS</v>
      </c>
      <c r="I335" s="38" t="str">
        <f>VLOOKUP(D335,'Form Responses 1'!B:J,8,FALSE)</f>
        <v>VD2103123</v>
      </c>
      <c r="J335" s="38" t="str">
        <f>VLOOKUP(D335,'Form Responses 1'!B:J,9,FALSE)</f>
        <v>100 kg / 0,01 kg</v>
      </c>
      <c r="K335" s="23">
        <v>46205</v>
      </c>
      <c r="L335" s="30" t="s">
        <v>1326</v>
      </c>
      <c r="M335" s="28" t="b">
        <v>1</v>
      </c>
    </row>
    <row r="336" spans="1:13" ht="38.25">
      <c r="A336" s="29">
        <v>195</v>
      </c>
      <c r="B336" s="29" t="s">
        <v>1523</v>
      </c>
      <c r="D336" s="29" t="s">
        <v>1241</v>
      </c>
      <c r="E336" s="38" t="str">
        <f>VLOOKUP(D336,'Form Responses 1'!B:J,2,FALSE)</f>
        <v>Jalan Raya Ijo-Jatijajar RT 002/RW 005, Desa Demangsari, Kecamatan Ayah, Kabupaten Kebumen</v>
      </c>
      <c r="F336" s="38" t="str">
        <f>VLOOKUP(D336,'Form Responses 1'!B:J,5,FALSE)</f>
        <v>Timbangan Elektronik</v>
      </c>
      <c r="G336" s="38" t="str">
        <f>VLOOKUP(D336,'Form Responses 1'!B:J,6,FALSE)</f>
        <v>Acis</v>
      </c>
      <c r="H336" s="38" t="str">
        <f>VLOOKUP(D336,'Form Responses 1'!B:J,7,FALSE)</f>
        <v>BC 5000</v>
      </c>
      <c r="I336" s="38" t="str">
        <f>VLOOKUP(D336,'Form Responses 1'!B:J,8,FALSE)</f>
        <v>E2504030512</v>
      </c>
      <c r="J336" s="38" t="str">
        <f>VLOOKUP(D336,'Form Responses 1'!B:J,9,FALSE)</f>
        <v>5000 g / 1 g</v>
      </c>
      <c r="K336" s="23">
        <v>46209</v>
      </c>
      <c r="L336" s="30" t="s">
        <v>1322</v>
      </c>
      <c r="M336" s="28" t="b">
        <v>0</v>
      </c>
    </row>
    <row r="337" spans="1:13" ht="38.25">
      <c r="A337" s="29">
        <v>196</v>
      </c>
      <c r="B337" s="29" t="s">
        <v>1524</v>
      </c>
      <c r="D337" s="29" t="s">
        <v>1233</v>
      </c>
      <c r="E337" s="38" t="str">
        <f>VLOOKUP(D337,'Form Responses 1'!B:J,2,FALSE)</f>
        <v>Jl. Raya Gombong Barat km.3 Purbowangi, Kecamatan Buayan, Kabupaten Kebumen</v>
      </c>
      <c r="F337" s="38" t="str">
        <f>VLOOKUP(D337,'Form Responses 1'!B:J,5,FALSE)</f>
        <v>Timbangan Elektronik</v>
      </c>
      <c r="G337" s="38" t="str">
        <f>VLOOKUP(D337,'Form Responses 1'!B:J,6,FALSE)</f>
        <v>Digitech</v>
      </c>
      <c r="H337" s="38" t="str">
        <f>VLOOKUP(D337,'Form Responses 1'!B:J,7,FALSE)</f>
        <v>DB-IS-150</v>
      </c>
      <c r="I337" s="38" t="str">
        <f>VLOOKUP(D337,'Form Responses 1'!B:J,8,FALSE)</f>
        <v>DB25058152</v>
      </c>
      <c r="J337" s="38" t="str">
        <f>VLOOKUP(D337,'Form Responses 1'!B:J,9,FALSE)</f>
        <v>80 kg / 0,001 kg</v>
      </c>
      <c r="K337" s="23">
        <v>46209</v>
      </c>
      <c r="L337" s="30" t="s">
        <v>1326</v>
      </c>
      <c r="M337" s="28" t="b">
        <v>0</v>
      </c>
    </row>
    <row r="338" spans="1:13" ht="38.25">
      <c r="D338" s="29" t="s">
        <v>1238</v>
      </c>
      <c r="E338" s="38" t="str">
        <f>VLOOKUP(D338,'Form Responses 1'!B:J,2,FALSE)</f>
        <v>Jl. Raya Gombong Barat km.3 Purbowangi, Kecamatan Buayan, Kabupaten Kebumen</v>
      </c>
      <c r="F338" s="38" t="str">
        <f>VLOOKUP(D338,'Form Responses 1'!B:J,5,FALSE)</f>
        <v>Timbangan Elektronik</v>
      </c>
      <c r="G338" s="38" t="str">
        <f>VLOOKUP(D338,'Form Responses 1'!B:J,6,FALSE)</f>
        <v>Digitech</v>
      </c>
      <c r="H338" s="38" t="str">
        <f>VLOOKUP(D338,'Form Responses 1'!B:J,7,FALSE)</f>
        <v>DB-IS-150</v>
      </c>
      <c r="I338" s="38" t="str">
        <f>VLOOKUP(D338,'Form Responses 1'!B:J,8,FALSE)</f>
        <v>DB25039348</v>
      </c>
      <c r="J338" s="38" t="str">
        <f>VLOOKUP(D338,'Form Responses 1'!B:J,9,FALSE)</f>
        <v>80 kg / 0,001 kg</v>
      </c>
      <c r="K338" s="23">
        <v>46209</v>
      </c>
      <c r="L338" s="30" t="s">
        <v>1326</v>
      </c>
      <c r="M338" s="28" t="b">
        <v>0</v>
      </c>
    </row>
    <row r="339" spans="1:13" ht="38.25">
      <c r="A339" s="29">
        <v>197</v>
      </c>
      <c r="B339" s="29" t="s">
        <v>1525</v>
      </c>
      <c r="D339" s="29" t="s">
        <v>1245</v>
      </c>
      <c r="E339" s="38" t="str">
        <f>VLOOKUP(D339,'Form Responses 1'!B:J,2,FALSE)</f>
        <v xml:space="preserve">Dk. Purwogondo RT 03 RW 03, Ds. Kalipurwo, Kecamatan Kuwarasan, Kabupaten Kebumen </v>
      </c>
      <c r="F339" s="38" t="str">
        <f>VLOOKUP(D339,'Form Responses 1'!B:J,5,FALSE)</f>
        <v>Neraca Obat</v>
      </c>
      <c r="G339" s="38" t="str">
        <f>VLOOKUP(D339,'Form Responses 1'!B:J,6,FALSE)</f>
        <v>SNS</v>
      </c>
      <c r="H339" s="38" t="str">
        <f>VLOOKUP(D339,'Form Responses 1'!B:J,7,FALSE)</f>
        <v>-</v>
      </c>
      <c r="I339" s="38">
        <f>VLOOKUP(D339,'Form Responses 1'!B:J,8,FALSE)</f>
        <v>24437</v>
      </c>
      <c r="J339" s="38" t="str">
        <f>VLOOKUP(D339,'Form Responses 1'!B:J,9,FALSE)</f>
        <v>50 g / 25 mg</v>
      </c>
      <c r="K339" s="23"/>
      <c r="L339" s="30"/>
      <c r="M339" s="28" t="b">
        <v>0</v>
      </c>
    </row>
    <row r="340" spans="1:13" ht="38.25">
      <c r="A340" s="29">
        <v>198</v>
      </c>
      <c r="B340" s="29" t="s">
        <v>1526</v>
      </c>
      <c r="C340" s="23">
        <v>46211</v>
      </c>
      <c r="D340" s="41" t="s">
        <v>1248</v>
      </c>
      <c r="E340" s="38" t="str">
        <f>VLOOKUP(D340,'Form Responses 1'!B:J,2,FALSE)</f>
        <v xml:space="preserve">Jl. Raya Kebumen, Desa Kuwayuhan, Kecamatan Pejagoan, Kabupaten Kebumen </v>
      </c>
      <c r="F340" s="38" t="str">
        <f>VLOOKUP(D340,'Form Responses 1'!B:J,5,FALSE)</f>
        <v>Timbangan Elektronik</v>
      </c>
      <c r="G340" s="38" t="str">
        <f>VLOOKUP(D340,'Form Responses 1'!B:J,6,FALSE)</f>
        <v>Sayaki</v>
      </c>
      <c r="H340" s="38" t="str">
        <f>VLOOKUP(D340,'Form Responses 1'!B:J,7,FALSE)</f>
        <v>A 12 E</v>
      </c>
      <c r="I340" s="38" t="str">
        <f>VLOOKUP(D340,'Form Responses 1'!B:J,8,FALSE)</f>
        <v>IMIWH12-220300196</v>
      </c>
      <c r="J340" s="38" t="str">
        <f>VLOOKUP(D340,'Form Responses 1'!B:J,9,FALSE)</f>
        <v>9000 kg x 2 kg</v>
      </c>
      <c r="K340" s="23">
        <v>46211</v>
      </c>
      <c r="L340" s="30" t="s">
        <v>1326</v>
      </c>
      <c r="M340" s="28" t="b">
        <v>1</v>
      </c>
    </row>
    <row r="341" spans="1:13" ht="38.25">
      <c r="A341" s="29">
        <v>199</v>
      </c>
      <c r="B341" s="29" t="s">
        <v>1527</v>
      </c>
      <c r="C341" s="23">
        <v>46216</v>
      </c>
      <c r="D341" s="24" t="s">
        <v>1257</v>
      </c>
      <c r="E341" s="38" t="str">
        <f>VLOOKUP(D341,'Form Responses 1'!B:J,2,FALSE)</f>
        <v>Desa Ampih, Kecamatan Buluspesantren, Kabupaten Kebumen</v>
      </c>
      <c r="F341" s="38" t="str">
        <f>VLOOKUP(D341,'Form Responses 1'!B:J,5,FALSE)</f>
        <v>PU BBM</v>
      </c>
      <c r="G341" s="38" t="str">
        <f>VLOOKUP(D341,'Form Responses 1'!B:J,6,FALSE)</f>
        <v>KOREA EnE</v>
      </c>
      <c r="H341" s="38" t="str">
        <f>VLOOKUP(D341,'Form Responses 1'!B:J,7,FALSE)</f>
        <v>PSISS</v>
      </c>
      <c r="I341" s="38" t="str">
        <f>VLOOKUP(D341,'Form Responses 1'!B:J,8,FALSE)</f>
        <v>ES-5552</v>
      </c>
      <c r="J341" s="38" t="str">
        <f>VLOOKUP(D341,'Form Responses 1'!B:J,9,FALSE)</f>
        <v>45 L/min</v>
      </c>
      <c r="K341" s="23">
        <v>46213</v>
      </c>
      <c r="L341" s="30" t="s">
        <v>1505</v>
      </c>
      <c r="M341" s="28" t="b">
        <v>1</v>
      </c>
    </row>
    <row r="342" spans="1:13" ht="51">
      <c r="A342" s="29">
        <v>200</v>
      </c>
      <c r="B342" s="29" t="s">
        <v>1528</v>
      </c>
      <c r="C342" s="23">
        <v>46216</v>
      </c>
      <c r="D342" s="29" t="s">
        <v>1261</v>
      </c>
      <c r="E342" s="38" t="str">
        <f>VLOOKUP(D342,'Form Responses 1'!B:J,2,FALSE)</f>
        <v xml:space="preserve">Jl. HM Sarbini No.109, Gunungmujil, Bumirejo, Kec. Kebumen, Kabupaten Kebumen, Jawa Tengah 54316 </v>
      </c>
      <c r="F342" s="38" t="str">
        <f>VLOOKUP(D342,'Form Responses 1'!B:J,5,FALSE)</f>
        <v>Timbangan Elektronik</v>
      </c>
      <c r="G342" s="38" t="str">
        <f>VLOOKUP(D342,'Form Responses 1'!B:J,6,FALSE)</f>
        <v>AXLO</v>
      </c>
      <c r="H342" s="38" t="str">
        <f>VLOOKUP(D342,'Form Responses 1'!B:J,7,FALSE)</f>
        <v>A-940</v>
      </c>
      <c r="I342" s="38" t="str">
        <f>VLOOKUP(D342,'Form Responses 1'!B:J,8,FALSE)</f>
        <v>ACS</v>
      </c>
      <c r="J342" s="38" t="str">
        <f>VLOOKUP(D342,'Form Responses 1'!B:J,9,FALSE)</f>
        <v>40kg</v>
      </c>
      <c r="K342" s="23">
        <v>46216</v>
      </c>
      <c r="L342" s="30" t="s">
        <v>1326</v>
      </c>
      <c r="M342" s="28" t="b">
        <v>1</v>
      </c>
    </row>
    <row r="343" spans="1:13" ht="38.25">
      <c r="A343" s="29">
        <v>201</v>
      </c>
      <c r="B343" s="29" t="s">
        <v>1529</v>
      </c>
      <c r="C343" s="23">
        <v>46218</v>
      </c>
      <c r="D343" s="29" t="s">
        <v>1277</v>
      </c>
      <c r="E343" s="38" t="str">
        <f>VLOOKUP(D343,'Form Responses 1'!B:J,2,FALSE)</f>
        <v>Ds.Sidoharum RT 03 RW 01, Kecamatam Sempor, Kabupaten Kebumen</v>
      </c>
      <c r="F343" s="38" t="str">
        <f>VLOOKUP(D343,'Form Responses 1'!B:J,5,FALSE)</f>
        <v>Timbangan Elektronik</v>
      </c>
      <c r="G343" s="38" t="str">
        <f>VLOOKUP(D343,'Form Responses 1'!B:J,6,FALSE)</f>
        <v>Acis</v>
      </c>
      <c r="H343" s="38" t="str">
        <f>VLOOKUP(D343,'Form Responses 1'!B:J,7,FALSE)</f>
        <v>BC 500</v>
      </c>
      <c r="I343" s="38" t="str">
        <f>VLOOKUP(D343,'Form Responses 1'!B:J,8,FALSE)</f>
        <v>E250703225</v>
      </c>
      <c r="J343" s="38" t="str">
        <f>VLOOKUP(D343,'Form Responses 1'!B:J,9,FALSE)</f>
        <v>500 g / 0.1 g</v>
      </c>
      <c r="K343" s="23">
        <v>46217</v>
      </c>
      <c r="L343" s="30" t="s">
        <v>1322</v>
      </c>
      <c r="M343" s="28" t="b">
        <v>1</v>
      </c>
    </row>
    <row r="344" spans="1:13" ht="38.25">
      <c r="A344" s="29">
        <v>202</v>
      </c>
      <c r="B344" s="29" t="s">
        <v>1530</v>
      </c>
      <c r="C344" s="23">
        <v>46219</v>
      </c>
      <c r="D344" s="29" t="s">
        <v>1287</v>
      </c>
      <c r="E344" s="38" t="str">
        <f>VLOOKUP(D344,'Form Responses 1'!B:J,2,FALSE)</f>
        <v>Jl. Karanggayam No. 1 RT 01 / RW 02, Kecamatan Karanggayam, Kabupaten Kebumen</v>
      </c>
      <c r="F344" s="38" t="str">
        <f>VLOOKUP(D344,'Form Responses 1'!B:J,5,FALSE)</f>
        <v>Timbangan Elektronik</v>
      </c>
      <c r="G344" s="38" t="str">
        <f>VLOOKUP(D344,'Form Responses 1'!B:J,6,FALSE)</f>
        <v>ACIS</v>
      </c>
      <c r="H344" s="38" t="str">
        <f>VLOOKUP(D344,'Form Responses 1'!B:J,7,FALSE)</f>
        <v>BC 500</v>
      </c>
      <c r="I344" s="38" t="str">
        <f>VLOOKUP(D344,'Form Responses 1'!B:J,8,FALSE)</f>
        <v>C260301151</v>
      </c>
      <c r="J344" s="38" t="str">
        <f>VLOOKUP(D344,'Form Responses 1'!B:J,9,FALSE)</f>
        <v>500 g / 0,1 g</v>
      </c>
      <c r="K344" s="23">
        <v>46219</v>
      </c>
      <c r="L344" s="30" t="s">
        <v>1322</v>
      </c>
      <c r="M344" s="28" t="b">
        <v>1</v>
      </c>
    </row>
    <row r="345" spans="1:13" ht="25.5">
      <c r="A345" s="29">
        <v>203</v>
      </c>
      <c r="B345" s="29" t="s">
        <v>1531</v>
      </c>
      <c r="C345" s="23">
        <v>46219</v>
      </c>
      <c r="D345" s="24" t="s">
        <v>1272</v>
      </c>
      <c r="E345" s="38" t="str">
        <f>VLOOKUP(D345,'Form Responses 1'!B:J,2,FALSE)</f>
        <v>Jl. Yos Sudarso No. 451 Wonokriyo, Gombong, Kebumen</v>
      </c>
      <c r="F345" s="38" t="str">
        <f>VLOOKUP(D345,'Form Responses 1'!B:J,5,FALSE)</f>
        <v>Neraca Obat</v>
      </c>
      <c r="G345" s="38" t="str">
        <f>VLOOKUP(D345,'Form Responses 1'!B:J,6,FALSE)</f>
        <v>Protinal</v>
      </c>
      <c r="H345" s="38" t="str">
        <f>VLOOKUP(D345,'Form Responses 1'!B:J,7,FALSE)</f>
        <v>-</v>
      </c>
      <c r="I345" s="38" t="str">
        <f>VLOOKUP(D345,'Form Responses 1'!B:J,8,FALSE)</f>
        <v>22C214</v>
      </c>
      <c r="J345" s="38" t="str">
        <f>VLOOKUP(D345,'Form Responses 1'!B:J,9,FALSE)</f>
        <v>100 g / 50 mg</v>
      </c>
      <c r="K345" s="23">
        <v>46219</v>
      </c>
      <c r="L345" s="30" t="s">
        <v>1326</v>
      </c>
      <c r="M345" s="28" t="b">
        <v>0</v>
      </c>
    </row>
    <row r="346" spans="1:13" ht="38.25">
      <c r="A346" s="29">
        <v>204</v>
      </c>
      <c r="B346" s="29" t="s">
        <v>1532</v>
      </c>
      <c r="D346" s="29" t="s">
        <v>1283</v>
      </c>
      <c r="E346" s="38" t="str">
        <f>VLOOKUP(D346,'Form Responses 1'!B:J,2,FALSE)</f>
        <v>Jalan Pemuda No 138 RT 04 RW 02 Kelurahan Panjer, Kecamatan Kebumen, Kabupaten Kebumen</v>
      </c>
      <c r="F346" s="38" t="str">
        <f>VLOOKUP(D346,'Form Responses 1'!B:J,5,FALSE)</f>
        <v>Neraca Obat</v>
      </c>
      <c r="G346" s="38" t="str">
        <f>VLOOKUP(D346,'Form Responses 1'!B:J,6,FALSE)</f>
        <v>Protinal</v>
      </c>
      <c r="H346" s="38" t="str">
        <f>VLOOKUP(D346,'Form Responses 1'!B:J,7,FALSE)</f>
        <v>-</v>
      </c>
      <c r="I346" s="38" t="str">
        <f>VLOOKUP(D346,'Form Responses 1'!B:J,8,FALSE)</f>
        <v>17D334</v>
      </c>
      <c r="J346" s="38" t="str">
        <f>VLOOKUP(D346,'Form Responses 1'!B:J,9,FALSE)</f>
        <v>100 g / 50 mg</v>
      </c>
      <c r="K346" s="23">
        <v>46219</v>
      </c>
      <c r="L346" s="30" t="s">
        <v>1326</v>
      </c>
      <c r="M346" s="28" t="b">
        <v>0</v>
      </c>
    </row>
    <row r="347" spans="1:13" ht="38.25">
      <c r="A347" s="29">
        <v>205</v>
      </c>
      <c r="B347" s="29" t="s">
        <v>1533</v>
      </c>
      <c r="C347" s="23">
        <v>46223</v>
      </c>
      <c r="D347" s="29" t="s">
        <v>1295</v>
      </c>
      <c r="E347" s="38" t="str">
        <f>VLOOKUP(D347,'Form Responses 1'!B:J,2,FALSE)</f>
        <v>Dukuh Karanganyar, Kecamatan Wadaslintang, Kabupaten Kebumen</v>
      </c>
      <c r="F347" s="38" t="str">
        <f>VLOOKUP(D347,'Form Responses 1'!B:J,5,FALSE)</f>
        <v>Dacin</v>
      </c>
      <c r="G347" s="38" t="str">
        <f>VLOOKUP(D347,'Form Responses 1'!B:J,6,FALSE)</f>
        <v>PUTERA</v>
      </c>
      <c r="H347" s="38" t="str">
        <f>VLOOKUP(D347,'Form Responses 1'!B:J,7,FALSE)</f>
        <v>-</v>
      </c>
      <c r="I347" s="38" t="str">
        <f>VLOOKUP(D347,'Form Responses 1'!B:J,8,FALSE)</f>
        <v>-</v>
      </c>
      <c r="J347" s="38" t="str">
        <f>VLOOKUP(D347,'Form Responses 1'!B:J,9,FALSE)</f>
        <v xml:space="preserve">110 kg / 0,5 kg </v>
      </c>
      <c r="K347" s="23">
        <v>46220</v>
      </c>
      <c r="L347" s="30" t="s">
        <v>1322</v>
      </c>
      <c r="M347" s="28" t="b">
        <v>0</v>
      </c>
    </row>
    <row r="348" spans="1:13" ht="38.25">
      <c r="A348" s="29">
        <v>206</v>
      </c>
      <c r="B348" s="29" t="s">
        <v>1534</v>
      </c>
      <c r="C348" s="23">
        <v>46223</v>
      </c>
      <c r="D348" s="29" t="s">
        <v>1304</v>
      </c>
      <c r="E348" s="38" t="str">
        <f>VLOOKUP(D348,'Form Responses 1'!B:J,2,FALSE)</f>
        <v xml:space="preserve">Desa Klopogodo RT 01 RW 02, Kecamatan Sruweng, Kabupaten Kebumen </v>
      </c>
      <c r="F348" s="38" t="str">
        <f>VLOOKUP(D348,'Form Responses 1'!B:J,5,FALSE)</f>
        <v>Timbangan Elektronik</v>
      </c>
      <c r="G348" s="38" t="str">
        <f>VLOOKUP(D348,'Form Responses 1'!B:J,6,FALSE)</f>
        <v>ACIS</v>
      </c>
      <c r="H348" s="38" t="str">
        <f>VLOOKUP(D348,'Form Responses 1'!B:J,7,FALSE)</f>
        <v xml:space="preserve">BC-500 </v>
      </c>
      <c r="I348" s="38" t="str">
        <f>VLOOKUP(D348,'Form Responses 1'!B:J,8,FALSE)</f>
        <v>C260301153</v>
      </c>
      <c r="J348" s="38" t="str">
        <f>VLOOKUP(D348,'Form Responses 1'!B:J,9,FALSE)</f>
        <v>500 g / 0.1 g</v>
      </c>
      <c r="K348" s="23"/>
      <c r="L348" s="30"/>
      <c r="M348" s="28" t="b">
        <v>0</v>
      </c>
    </row>
    <row r="349" spans="1:13" ht="12.75">
      <c r="D349" s="38"/>
      <c r="E349" s="38" t="e">
        <f>VLOOKUP(D349,'Form Responses 1'!B:J,2,FALSE)</f>
        <v>#N/A</v>
      </c>
      <c r="F349" s="38" t="e">
        <f>VLOOKUP(D349,'Form Responses 1'!B:J,5,FALSE)</f>
        <v>#N/A</v>
      </c>
      <c r="G349" s="38" t="e">
        <f>VLOOKUP(D349,'Form Responses 1'!B:J,6,FALSE)</f>
        <v>#N/A</v>
      </c>
      <c r="H349" s="38" t="e">
        <f>VLOOKUP(D349,'Form Responses 1'!B:J,7,FALSE)</f>
        <v>#N/A</v>
      </c>
      <c r="I349" s="38" t="e">
        <f>VLOOKUP(D349,'Form Responses 1'!B:J,8,FALSE)</f>
        <v>#N/A</v>
      </c>
      <c r="J349" s="38" t="e">
        <f>VLOOKUP(D349,'Form Responses 1'!B:J,9,FALSE)</f>
        <v>#N/A</v>
      </c>
      <c r="K349" s="23"/>
      <c r="L349" s="30"/>
      <c r="M349" s="28" t="b">
        <v>0</v>
      </c>
    </row>
    <row r="350" spans="1:13" ht="12.75">
      <c r="D350" s="38"/>
      <c r="E350" s="38" t="e">
        <f>VLOOKUP(D350,'Form Responses 1'!B:J,2,FALSE)</f>
        <v>#N/A</v>
      </c>
      <c r="F350" s="38" t="e">
        <f>VLOOKUP(D350,'Form Responses 1'!B:J,5,FALSE)</f>
        <v>#N/A</v>
      </c>
      <c r="G350" s="38" t="e">
        <f>VLOOKUP(D350,'Form Responses 1'!B:J,6,FALSE)</f>
        <v>#N/A</v>
      </c>
      <c r="H350" s="38" t="e">
        <f>VLOOKUP(D350,'Form Responses 1'!B:J,7,FALSE)</f>
        <v>#N/A</v>
      </c>
      <c r="I350" s="38" t="e">
        <f>VLOOKUP(D350,'Form Responses 1'!B:J,8,FALSE)</f>
        <v>#N/A</v>
      </c>
      <c r="J350" s="38" t="e">
        <f>VLOOKUP(D350,'Form Responses 1'!B:J,9,FALSE)</f>
        <v>#N/A</v>
      </c>
      <c r="K350" s="23"/>
      <c r="L350" s="30"/>
      <c r="M350" s="28" t="b">
        <v>0</v>
      </c>
    </row>
    <row r="351" spans="1:13" ht="12.75">
      <c r="D351" s="38"/>
      <c r="E351" s="38"/>
    </row>
    <row r="352" spans="1:13" ht="12.75">
      <c r="D352" s="38"/>
      <c r="E352" s="38"/>
    </row>
    <row r="353" spans="4:5" ht="12.75">
      <c r="D353" s="38"/>
      <c r="E353" s="38"/>
    </row>
    <row r="354" spans="4:5" ht="12.75">
      <c r="D354" s="38"/>
      <c r="E354" s="38"/>
    </row>
    <row r="355" spans="4:5" ht="12.75">
      <c r="D355" s="38"/>
      <c r="E355" s="38"/>
    </row>
    <row r="356" spans="4:5" ht="12.75">
      <c r="D356" s="38"/>
      <c r="E356" s="38"/>
    </row>
    <row r="357" spans="4:5" ht="12.75">
      <c r="D357" s="38"/>
      <c r="E357" s="38"/>
    </row>
    <row r="358" spans="4:5" ht="12.75">
      <c r="D358" s="38"/>
      <c r="E358" s="38"/>
    </row>
    <row r="359" spans="4:5" ht="12.75">
      <c r="D359" s="38"/>
      <c r="E359" s="38"/>
    </row>
    <row r="360" spans="4:5" ht="12.75">
      <c r="D360" s="38"/>
      <c r="E360" s="38"/>
    </row>
    <row r="361" spans="4:5" ht="12.75">
      <c r="D361" s="38"/>
      <c r="E361" s="38"/>
    </row>
    <row r="362" spans="4:5" ht="12.75">
      <c r="D362" s="38"/>
      <c r="E362" s="38"/>
    </row>
    <row r="363" spans="4:5" ht="12.75">
      <c r="D363" s="38"/>
      <c r="E363" s="38"/>
    </row>
    <row r="364" spans="4:5" ht="12.75">
      <c r="D364" s="38"/>
      <c r="E364" s="38"/>
    </row>
    <row r="365" spans="4:5" ht="12.75">
      <c r="D365" s="38"/>
      <c r="E365" s="38"/>
    </row>
    <row r="366" spans="4:5" ht="12.75">
      <c r="D366" s="38"/>
      <c r="E366" s="38"/>
    </row>
    <row r="367" spans="4:5" ht="12.75">
      <c r="D367" s="38"/>
      <c r="E367" s="38"/>
    </row>
    <row r="368" spans="4:5" ht="12.75">
      <c r="D368" s="38"/>
      <c r="E368" s="38"/>
    </row>
    <row r="369" spans="4:5" ht="12.75">
      <c r="D369" s="38"/>
      <c r="E369" s="38"/>
    </row>
    <row r="370" spans="4:5" ht="12.75">
      <c r="D370" s="38"/>
      <c r="E370" s="38"/>
    </row>
    <row r="371" spans="4:5" ht="12.75">
      <c r="D371" s="38"/>
      <c r="E371" s="38"/>
    </row>
    <row r="372" spans="4:5" ht="12.75">
      <c r="D372" s="38"/>
      <c r="E372" s="38"/>
    </row>
    <row r="373" spans="4:5" ht="12.75">
      <c r="D373" s="38"/>
      <c r="E373" s="38"/>
    </row>
    <row r="374" spans="4:5" ht="12.75">
      <c r="D374" s="38"/>
      <c r="E374" s="38"/>
    </row>
    <row r="375" spans="4:5" ht="12.75">
      <c r="D375" s="38"/>
      <c r="E375" s="38"/>
    </row>
    <row r="376" spans="4:5" ht="12.75">
      <c r="D376" s="38"/>
      <c r="E376" s="38"/>
    </row>
    <row r="377" spans="4:5" ht="12.75">
      <c r="D377" s="38"/>
      <c r="E377" s="38"/>
    </row>
    <row r="378" spans="4:5" ht="12.75">
      <c r="D378" s="38"/>
      <c r="E378" s="38"/>
    </row>
    <row r="379" spans="4:5" ht="12.75">
      <c r="D379" s="38"/>
      <c r="E379" s="38"/>
    </row>
    <row r="380" spans="4:5" ht="12.75">
      <c r="D380" s="38"/>
      <c r="E380" s="38"/>
    </row>
    <row r="381" spans="4:5" ht="12.75">
      <c r="D381" s="38"/>
      <c r="E381" s="38"/>
    </row>
    <row r="382" spans="4:5" ht="12.75">
      <c r="D382" s="38"/>
      <c r="E382" s="38"/>
    </row>
    <row r="383" spans="4:5" ht="12.75">
      <c r="D383" s="38"/>
      <c r="E383" s="38"/>
    </row>
    <row r="384" spans="4:5" ht="12.75">
      <c r="D384" s="38"/>
      <c r="E384" s="38"/>
    </row>
    <row r="385" spans="4:5" ht="12.75">
      <c r="D385" s="38"/>
      <c r="E385" s="38"/>
    </row>
    <row r="386" spans="4:5" ht="12.75">
      <c r="D386" s="38"/>
      <c r="E386" s="38"/>
    </row>
    <row r="387" spans="4:5" ht="12.75">
      <c r="D387" s="38"/>
      <c r="E387" s="38"/>
    </row>
    <row r="388" spans="4:5" ht="12.75">
      <c r="D388" s="38"/>
      <c r="E388" s="38"/>
    </row>
    <row r="389" spans="4:5" ht="12.75">
      <c r="D389" s="38"/>
      <c r="E389" s="38"/>
    </row>
    <row r="390" spans="4:5" ht="12.75">
      <c r="D390" s="38"/>
      <c r="E390" s="38"/>
    </row>
    <row r="391" spans="4:5" ht="12.75">
      <c r="D391" s="38"/>
      <c r="E391" s="38"/>
    </row>
    <row r="392" spans="4:5" ht="12.75">
      <c r="D392" s="38"/>
      <c r="E392" s="38"/>
    </row>
    <row r="393" spans="4:5" ht="12.75">
      <c r="D393" s="38"/>
      <c r="E393" s="38"/>
    </row>
    <row r="394" spans="4:5" ht="12.75">
      <c r="D394" s="38"/>
      <c r="E394" s="38"/>
    </row>
    <row r="395" spans="4:5" ht="12.75">
      <c r="D395" s="38"/>
      <c r="E395" s="38"/>
    </row>
    <row r="396" spans="4:5" ht="12.75">
      <c r="D396" s="38"/>
      <c r="E396" s="38"/>
    </row>
    <row r="397" spans="4:5" ht="12.75">
      <c r="D397" s="38"/>
      <c r="E397" s="38"/>
    </row>
    <row r="398" spans="4:5" ht="12.75">
      <c r="D398" s="38"/>
      <c r="E398" s="38"/>
    </row>
    <row r="399" spans="4:5" ht="12.75">
      <c r="D399" s="38"/>
      <c r="E399" s="38"/>
    </row>
    <row r="400" spans="4:5" ht="12.75">
      <c r="D400" s="38"/>
      <c r="E400" s="38"/>
    </row>
    <row r="401" spans="4:5" ht="12.75">
      <c r="D401" s="38"/>
      <c r="E401" s="38"/>
    </row>
    <row r="402" spans="4:5" ht="12.75">
      <c r="D402" s="38"/>
      <c r="E402" s="38"/>
    </row>
    <row r="403" spans="4:5" ht="12.75">
      <c r="D403" s="38"/>
      <c r="E403" s="38"/>
    </row>
    <row r="404" spans="4:5" ht="12.75">
      <c r="D404" s="38"/>
      <c r="E404" s="38"/>
    </row>
    <row r="405" spans="4:5" ht="12.75">
      <c r="D405" s="38"/>
      <c r="E405" s="38"/>
    </row>
    <row r="406" spans="4:5" ht="12.75">
      <c r="D406" s="38"/>
      <c r="E406" s="38"/>
    </row>
    <row r="407" spans="4:5" ht="12.75">
      <c r="D407" s="38"/>
      <c r="E407" s="38"/>
    </row>
    <row r="408" spans="4:5" ht="12.75">
      <c r="D408" s="38"/>
      <c r="E408" s="38"/>
    </row>
    <row r="409" spans="4:5" ht="12.75">
      <c r="D409" s="38"/>
      <c r="E409" s="38"/>
    </row>
    <row r="410" spans="4:5" ht="12.75">
      <c r="D410" s="38"/>
      <c r="E410" s="38"/>
    </row>
    <row r="411" spans="4:5" ht="12.75">
      <c r="D411" s="38"/>
      <c r="E411" s="38"/>
    </row>
    <row r="412" spans="4:5" ht="12.75">
      <c r="D412" s="38"/>
      <c r="E412" s="38"/>
    </row>
    <row r="413" spans="4:5" ht="12.75">
      <c r="D413" s="38"/>
      <c r="E413" s="38"/>
    </row>
    <row r="414" spans="4:5" ht="12.75">
      <c r="D414" s="38"/>
      <c r="E414" s="38"/>
    </row>
    <row r="415" spans="4:5" ht="12.75">
      <c r="D415" s="38"/>
      <c r="E415" s="38"/>
    </row>
    <row r="416" spans="4:5" ht="12.75">
      <c r="D416" s="38"/>
      <c r="E416" s="38"/>
    </row>
    <row r="417" spans="4:5" ht="12.75">
      <c r="D417" s="38"/>
      <c r="E417" s="38"/>
    </row>
    <row r="418" spans="4:5" ht="12.75">
      <c r="D418" s="38"/>
      <c r="E418" s="38"/>
    </row>
    <row r="419" spans="4:5" ht="12.75">
      <c r="D419" s="38"/>
      <c r="E419" s="38"/>
    </row>
    <row r="420" spans="4:5" ht="12.75">
      <c r="D420" s="38"/>
      <c r="E420" s="38"/>
    </row>
    <row r="421" spans="4:5" ht="12.75">
      <c r="D421" s="38"/>
      <c r="E421" s="38"/>
    </row>
    <row r="422" spans="4:5" ht="12.75">
      <c r="D422" s="38"/>
      <c r="E422" s="38"/>
    </row>
    <row r="423" spans="4:5" ht="12.75">
      <c r="D423" s="38"/>
      <c r="E423" s="38"/>
    </row>
    <row r="424" spans="4:5" ht="12.75">
      <c r="D424" s="38"/>
      <c r="E424" s="38"/>
    </row>
    <row r="425" spans="4:5" ht="12.75">
      <c r="D425" s="38"/>
      <c r="E425" s="38"/>
    </row>
    <row r="426" spans="4:5" ht="12.75">
      <c r="D426" s="38"/>
      <c r="E426" s="38"/>
    </row>
    <row r="427" spans="4:5" ht="12.75">
      <c r="D427" s="38"/>
      <c r="E427" s="38"/>
    </row>
    <row r="428" spans="4:5" ht="12.75">
      <c r="D428" s="38"/>
      <c r="E428" s="38"/>
    </row>
    <row r="429" spans="4:5" ht="12.75">
      <c r="D429" s="38"/>
      <c r="E429" s="38"/>
    </row>
    <row r="430" spans="4:5" ht="12.75">
      <c r="D430" s="38"/>
      <c r="E430" s="38"/>
    </row>
    <row r="431" spans="4:5" ht="12.75">
      <c r="D431" s="38"/>
      <c r="E431" s="38"/>
    </row>
    <row r="432" spans="4:5" ht="12.75">
      <c r="D432" s="38"/>
      <c r="E432" s="38"/>
    </row>
    <row r="433" spans="4:5" ht="12.75">
      <c r="D433" s="38"/>
      <c r="E433" s="38"/>
    </row>
    <row r="434" spans="4:5" ht="12.75">
      <c r="D434" s="38"/>
      <c r="E434" s="38"/>
    </row>
    <row r="435" spans="4:5" ht="12.75">
      <c r="D435" s="38"/>
      <c r="E435" s="38"/>
    </row>
    <row r="436" spans="4:5" ht="12.75">
      <c r="D436" s="38"/>
      <c r="E436" s="38"/>
    </row>
    <row r="437" spans="4:5" ht="12.75">
      <c r="D437" s="38"/>
      <c r="E437" s="38"/>
    </row>
    <row r="438" spans="4:5" ht="12.75">
      <c r="D438" s="38"/>
      <c r="E438" s="38"/>
    </row>
    <row r="439" spans="4:5" ht="12.75">
      <c r="D439" s="38"/>
      <c r="E439" s="38"/>
    </row>
    <row r="440" spans="4:5" ht="12.75">
      <c r="D440" s="38"/>
      <c r="E440" s="38"/>
    </row>
    <row r="441" spans="4:5" ht="12.75">
      <c r="D441" s="38"/>
      <c r="E441" s="38"/>
    </row>
    <row r="442" spans="4:5" ht="12.75">
      <c r="D442" s="38"/>
      <c r="E442" s="38"/>
    </row>
    <row r="443" spans="4:5" ht="12.75">
      <c r="D443" s="38"/>
      <c r="E443" s="38"/>
    </row>
    <row r="444" spans="4:5" ht="12.75">
      <c r="D444" s="38"/>
      <c r="E444" s="38"/>
    </row>
    <row r="445" spans="4:5" ht="12.75">
      <c r="D445" s="38"/>
      <c r="E445" s="38"/>
    </row>
    <row r="446" spans="4:5" ht="12.75">
      <c r="D446" s="38"/>
      <c r="E446" s="38"/>
    </row>
    <row r="447" spans="4:5" ht="12.75">
      <c r="D447" s="38"/>
      <c r="E447" s="38"/>
    </row>
    <row r="448" spans="4:5" ht="12.75">
      <c r="D448" s="38"/>
      <c r="E448" s="38"/>
    </row>
    <row r="449" spans="4:5" ht="12.75">
      <c r="D449" s="38"/>
      <c r="E449" s="38"/>
    </row>
    <row r="450" spans="4:5" ht="12.75">
      <c r="D450" s="38"/>
      <c r="E450" s="38"/>
    </row>
    <row r="451" spans="4:5" ht="12.75">
      <c r="D451" s="38"/>
      <c r="E451" s="38"/>
    </row>
    <row r="452" spans="4:5" ht="12.75">
      <c r="D452" s="38"/>
      <c r="E452" s="38"/>
    </row>
    <row r="453" spans="4:5" ht="12.75">
      <c r="D453" s="38"/>
      <c r="E453" s="38"/>
    </row>
    <row r="454" spans="4:5" ht="12.75">
      <c r="D454" s="38"/>
      <c r="E454" s="38"/>
    </row>
    <row r="455" spans="4:5" ht="12.75">
      <c r="D455" s="38"/>
      <c r="E455" s="38"/>
    </row>
    <row r="456" spans="4:5" ht="12.75">
      <c r="D456" s="38"/>
      <c r="E456" s="38"/>
    </row>
    <row r="457" spans="4:5" ht="12.75">
      <c r="D457" s="38"/>
      <c r="E457" s="38"/>
    </row>
    <row r="458" spans="4:5" ht="12.75">
      <c r="D458" s="38"/>
      <c r="E458" s="38"/>
    </row>
    <row r="459" spans="4:5" ht="12.75">
      <c r="D459" s="38"/>
      <c r="E459" s="38"/>
    </row>
    <row r="460" spans="4:5" ht="12.75">
      <c r="D460" s="38"/>
      <c r="E460" s="38"/>
    </row>
    <row r="461" spans="4:5" ht="12.75">
      <c r="D461" s="38"/>
      <c r="E461" s="38"/>
    </row>
    <row r="462" spans="4:5" ht="12.75">
      <c r="D462" s="38"/>
      <c r="E462" s="38"/>
    </row>
    <row r="463" spans="4:5" ht="12.75">
      <c r="D463" s="38"/>
      <c r="E463" s="38"/>
    </row>
    <row r="464" spans="4:5" ht="12.75">
      <c r="D464" s="38"/>
      <c r="E464" s="38"/>
    </row>
    <row r="465" spans="4:5" ht="12.75">
      <c r="D465" s="38"/>
      <c r="E465" s="38"/>
    </row>
    <row r="466" spans="4:5" ht="12.75">
      <c r="D466" s="38"/>
      <c r="E466" s="38"/>
    </row>
    <row r="467" spans="4:5" ht="12.75">
      <c r="D467" s="38"/>
      <c r="E467" s="38"/>
    </row>
    <row r="468" spans="4:5" ht="12.75">
      <c r="D468" s="38"/>
      <c r="E468" s="38"/>
    </row>
    <row r="469" spans="4:5" ht="12.75">
      <c r="D469" s="38"/>
      <c r="E469" s="38"/>
    </row>
    <row r="470" spans="4:5" ht="12.75">
      <c r="D470" s="38"/>
      <c r="E470" s="38"/>
    </row>
    <row r="471" spans="4:5" ht="12.75">
      <c r="D471" s="38"/>
      <c r="E471" s="38"/>
    </row>
    <row r="472" spans="4:5" ht="12.75">
      <c r="D472" s="38"/>
      <c r="E472" s="38"/>
    </row>
    <row r="473" spans="4:5" ht="12.75">
      <c r="D473" s="38"/>
      <c r="E473" s="38"/>
    </row>
    <row r="474" spans="4:5" ht="12.75">
      <c r="D474" s="38"/>
      <c r="E474" s="38"/>
    </row>
    <row r="475" spans="4:5" ht="12.75">
      <c r="D475" s="38"/>
      <c r="E475" s="38"/>
    </row>
    <row r="476" spans="4:5" ht="12.75">
      <c r="D476" s="38"/>
      <c r="E476" s="38"/>
    </row>
    <row r="477" spans="4:5" ht="12.75">
      <c r="D477" s="38"/>
      <c r="E477" s="38"/>
    </row>
    <row r="478" spans="4:5" ht="12.75">
      <c r="D478" s="38"/>
      <c r="E478" s="38"/>
    </row>
    <row r="479" spans="4:5" ht="12.75">
      <c r="D479" s="38"/>
      <c r="E479" s="38"/>
    </row>
    <row r="480" spans="4:5" ht="12.75">
      <c r="D480" s="38"/>
      <c r="E480" s="38"/>
    </row>
    <row r="481" spans="4:5" ht="12.75">
      <c r="D481" s="38"/>
      <c r="E481" s="38"/>
    </row>
    <row r="482" spans="4:5" ht="12.75">
      <c r="D482" s="38"/>
      <c r="E482" s="38"/>
    </row>
    <row r="483" spans="4:5" ht="12.75">
      <c r="D483" s="38"/>
      <c r="E483" s="38"/>
    </row>
    <row r="484" spans="4:5" ht="12.75">
      <c r="D484" s="38"/>
      <c r="E484" s="38"/>
    </row>
    <row r="485" spans="4:5" ht="12.75">
      <c r="D485" s="38"/>
      <c r="E485" s="38"/>
    </row>
    <row r="486" spans="4:5" ht="12.75">
      <c r="D486" s="38"/>
      <c r="E486" s="38"/>
    </row>
    <row r="487" spans="4:5" ht="12.75">
      <c r="D487" s="38"/>
      <c r="E487" s="38"/>
    </row>
    <row r="488" spans="4:5" ht="12.75">
      <c r="D488" s="38"/>
      <c r="E488" s="38"/>
    </row>
    <row r="489" spans="4:5" ht="12.75">
      <c r="D489" s="38"/>
      <c r="E489" s="38"/>
    </row>
    <row r="490" spans="4:5" ht="12.75">
      <c r="D490" s="38"/>
      <c r="E490" s="38"/>
    </row>
    <row r="491" spans="4:5" ht="12.75">
      <c r="D491" s="38"/>
      <c r="E491" s="38"/>
    </row>
    <row r="492" spans="4:5" ht="12.75">
      <c r="D492" s="38"/>
      <c r="E492" s="38"/>
    </row>
    <row r="493" spans="4:5" ht="12.75">
      <c r="D493" s="38"/>
      <c r="E493" s="38"/>
    </row>
    <row r="494" spans="4:5" ht="12.75">
      <c r="D494" s="38"/>
      <c r="E494" s="38"/>
    </row>
    <row r="495" spans="4:5" ht="12.75">
      <c r="D495" s="38"/>
      <c r="E495" s="38"/>
    </row>
    <row r="496" spans="4:5" ht="12.75">
      <c r="D496" s="38"/>
      <c r="E496" s="38"/>
    </row>
    <row r="497" spans="4:5" ht="12.75">
      <c r="D497" s="38"/>
      <c r="E497" s="38"/>
    </row>
    <row r="498" spans="4:5" ht="12.75">
      <c r="D498" s="38"/>
      <c r="E498" s="38"/>
    </row>
    <row r="499" spans="4:5" ht="12.75">
      <c r="D499" s="38"/>
      <c r="E499" s="38"/>
    </row>
    <row r="500" spans="4:5" ht="12.75">
      <c r="D500" s="38"/>
      <c r="E500" s="38"/>
    </row>
    <row r="501" spans="4:5" ht="12.75">
      <c r="D501" s="38"/>
      <c r="E501" s="38"/>
    </row>
    <row r="502" spans="4:5" ht="12.75">
      <c r="D502" s="38"/>
      <c r="E502" s="38"/>
    </row>
    <row r="503" spans="4:5" ht="12.75">
      <c r="D503" s="38"/>
      <c r="E503" s="38"/>
    </row>
    <row r="504" spans="4:5" ht="12.75">
      <c r="D504" s="38"/>
      <c r="E504" s="38"/>
    </row>
    <row r="505" spans="4:5" ht="12.75">
      <c r="D505" s="38"/>
      <c r="E505" s="38"/>
    </row>
    <row r="506" spans="4:5" ht="12.75">
      <c r="D506" s="38"/>
      <c r="E506" s="38"/>
    </row>
    <row r="507" spans="4:5" ht="12.75">
      <c r="D507" s="38"/>
      <c r="E507" s="38"/>
    </row>
    <row r="508" spans="4:5" ht="12.75">
      <c r="D508" s="38"/>
      <c r="E508" s="38"/>
    </row>
    <row r="509" spans="4:5" ht="12.75">
      <c r="D509" s="38"/>
      <c r="E509" s="38"/>
    </row>
    <row r="510" spans="4:5" ht="12.75">
      <c r="D510" s="38"/>
      <c r="E510" s="38"/>
    </row>
    <row r="511" spans="4:5" ht="12.75">
      <c r="D511" s="38"/>
      <c r="E511" s="38"/>
    </row>
    <row r="512" spans="4:5" ht="12.75">
      <c r="D512" s="38"/>
      <c r="E512" s="38"/>
    </row>
    <row r="513" spans="4:5" ht="12.75">
      <c r="D513" s="38"/>
      <c r="E513" s="38"/>
    </row>
    <row r="514" spans="4:5" ht="12.75">
      <c r="D514" s="38"/>
      <c r="E514" s="38"/>
    </row>
    <row r="515" spans="4:5" ht="12.75">
      <c r="D515" s="38"/>
      <c r="E515" s="38"/>
    </row>
    <row r="516" spans="4:5" ht="12.75">
      <c r="D516" s="38"/>
      <c r="E516" s="38"/>
    </row>
    <row r="517" spans="4:5" ht="12.75">
      <c r="D517" s="38"/>
      <c r="E517" s="38"/>
    </row>
    <row r="518" spans="4:5" ht="12.75">
      <c r="D518" s="38"/>
      <c r="E518" s="38"/>
    </row>
    <row r="519" spans="4:5" ht="12.75">
      <c r="D519" s="38"/>
      <c r="E519" s="38"/>
    </row>
    <row r="520" spans="4:5" ht="12.75">
      <c r="D520" s="38"/>
      <c r="E520" s="38"/>
    </row>
    <row r="521" spans="4:5" ht="12.75">
      <c r="D521" s="38"/>
      <c r="E521" s="38"/>
    </row>
    <row r="522" spans="4:5" ht="12.75">
      <c r="D522" s="38"/>
      <c r="E522" s="38"/>
    </row>
    <row r="523" spans="4:5" ht="12.75">
      <c r="D523" s="38"/>
      <c r="E523" s="38"/>
    </row>
    <row r="524" spans="4:5" ht="12.75">
      <c r="D524" s="38"/>
      <c r="E524" s="38"/>
    </row>
    <row r="525" spans="4:5" ht="12.75">
      <c r="D525" s="38"/>
      <c r="E525" s="38"/>
    </row>
    <row r="526" spans="4:5" ht="12.75">
      <c r="D526" s="38"/>
      <c r="E526" s="38"/>
    </row>
    <row r="527" spans="4:5" ht="12.75">
      <c r="D527" s="38"/>
      <c r="E527" s="38"/>
    </row>
    <row r="528" spans="4:5" ht="12.75">
      <c r="D528" s="38"/>
      <c r="E528" s="38"/>
    </row>
    <row r="529" spans="4:5" ht="12.75">
      <c r="D529" s="38"/>
      <c r="E529" s="38"/>
    </row>
    <row r="530" spans="4:5" ht="12.75">
      <c r="D530" s="38"/>
      <c r="E530" s="38"/>
    </row>
    <row r="531" spans="4:5" ht="12.75">
      <c r="D531" s="38"/>
      <c r="E531" s="38"/>
    </row>
    <row r="532" spans="4:5" ht="12.75">
      <c r="D532" s="38"/>
      <c r="E532" s="38"/>
    </row>
    <row r="533" spans="4:5" ht="12.75">
      <c r="D533" s="38"/>
      <c r="E533" s="38"/>
    </row>
    <row r="534" spans="4:5" ht="12.75">
      <c r="D534" s="38"/>
      <c r="E534" s="38"/>
    </row>
    <row r="535" spans="4:5" ht="12.75">
      <c r="D535" s="38"/>
      <c r="E535" s="38"/>
    </row>
    <row r="536" spans="4:5" ht="12.75">
      <c r="D536" s="38"/>
      <c r="E536" s="38"/>
    </row>
    <row r="537" spans="4:5" ht="12.75">
      <c r="D537" s="38"/>
      <c r="E537" s="38"/>
    </row>
    <row r="538" spans="4:5" ht="12.75">
      <c r="D538" s="38"/>
      <c r="E538" s="38"/>
    </row>
    <row r="539" spans="4:5" ht="12.75">
      <c r="D539" s="38"/>
      <c r="E539" s="38"/>
    </row>
    <row r="540" spans="4:5" ht="12.75">
      <c r="D540" s="38"/>
      <c r="E540" s="38"/>
    </row>
    <row r="541" spans="4:5" ht="12.75">
      <c r="D541" s="38"/>
      <c r="E541" s="38"/>
    </row>
    <row r="542" spans="4:5" ht="12.75">
      <c r="D542" s="38"/>
      <c r="E542" s="38"/>
    </row>
    <row r="543" spans="4:5" ht="12.75">
      <c r="D543" s="38"/>
      <c r="E543" s="38"/>
    </row>
    <row r="544" spans="4:5" ht="12.75">
      <c r="D544" s="38"/>
      <c r="E544" s="38"/>
    </row>
    <row r="545" spans="4:5" ht="12.75">
      <c r="D545" s="38"/>
      <c r="E545" s="38"/>
    </row>
    <row r="546" spans="4:5" ht="12.75">
      <c r="D546" s="38"/>
      <c r="E546" s="38"/>
    </row>
    <row r="547" spans="4:5" ht="12.75">
      <c r="D547" s="38"/>
      <c r="E547" s="38"/>
    </row>
    <row r="548" spans="4:5" ht="12.75">
      <c r="D548" s="38"/>
      <c r="E548" s="38"/>
    </row>
    <row r="549" spans="4:5" ht="12.75">
      <c r="D549" s="38"/>
      <c r="E549" s="38"/>
    </row>
    <row r="550" spans="4:5" ht="12.75">
      <c r="D550" s="38"/>
      <c r="E550" s="38"/>
    </row>
    <row r="551" spans="4:5" ht="12.75">
      <c r="D551" s="38"/>
      <c r="E551" s="38"/>
    </row>
    <row r="552" spans="4:5" ht="12.75">
      <c r="D552" s="38"/>
      <c r="E552" s="38"/>
    </row>
    <row r="553" spans="4:5" ht="12.75">
      <c r="D553" s="38"/>
      <c r="E553" s="38"/>
    </row>
    <row r="554" spans="4:5" ht="12.75">
      <c r="D554" s="38"/>
      <c r="E554" s="38"/>
    </row>
    <row r="555" spans="4:5" ht="12.75">
      <c r="D555" s="38"/>
      <c r="E555" s="38"/>
    </row>
    <row r="556" spans="4:5" ht="12.75">
      <c r="D556" s="38"/>
      <c r="E556" s="38"/>
    </row>
    <row r="557" spans="4:5" ht="12.75">
      <c r="D557" s="38"/>
      <c r="E557" s="38"/>
    </row>
    <row r="558" spans="4:5" ht="12.75">
      <c r="D558" s="38"/>
      <c r="E558" s="38"/>
    </row>
    <row r="559" spans="4:5" ht="12.75">
      <c r="D559" s="38"/>
      <c r="E559" s="38"/>
    </row>
    <row r="560" spans="4:5" ht="12.75">
      <c r="D560" s="38"/>
      <c r="E560" s="38"/>
    </row>
    <row r="561" spans="4:5" ht="12.75">
      <c r="D561" s="38"/>
      <c r="E561" s="38"/>
    </row>
    <row r="562" spans="4:5" ht="12.75">
      <c r="D562" s="38"/>
      <c r="E562" s="38"/>
    </row>
    <row r="563" spans="4:5" ht="12.75">
      <c r="D563" s="38"/>
      <c r="E563" s="38"/>
    </row>
    <row r="564" spans="4:5" ht="12.75">
      <c r="D564" s="38"/>
      <c r="E564" s="38"/>
    </row>
    <row r="565" spans="4:5" ht="12.75">
      <c r="D565" s="38"/>
      <c r="E565" s="38"/>
    </row>
    <row r="566" spans="4:5" ht="12.75">
      <c r="D566" s="38"/>
      <c r="E566" s="38"/>
    </row>
    <row r="567" spans="4:5" ht="12.75">
      <c r="D567" s="38"/>
      <c r="E567" s="38"/>
    </row>
    <row r="568" spans="4:5" ht="12.75">
      <c r="D568" s="38"/>
      <c r="E568" s="38"/>
    </row>
    <row r="569" spans="4:5" ht="12.75">
      <c r="D569" s="38"/>
      <c r="E569" s="38"/>
    </row>
    <row r="570" spans="4:5" ht="12.75">
      <c r="D570" s="38"/>
      <c r="E570" s="38"/>
    </row>
    <row r="571" spans="4:5" ht="12.75">
      <c r="D571" s="38"/>
      <c r="E571" s="38"/>
    </row>
    <row r="572" spans="4:5" ht="12.75">
      <c r="D572" s="38"/>
      <c r="E572" s="38"/>
    </row>
    <row r="573" spans="4:5" ht="12.75">
      <c r="D573" s="38"/>
      <c r="E573" s="38"/>
    </row>
    <row r="574" spans="4:5" ht="12.75">
      <c r="D574" s="38"/>
      <c r="E574" s="38"/>
    </row>
    <row r="575" spans="4:5" ht="12.75">
      <c r="D575" s="38"/>
      <c r="E575" s="38"/>
    </row>
    <row r="576" spans="4:5" ht="12.75">
      <c r="D576" s="38"/>
      <c r="E576" s="38"/>
    </row>
    <row r="577" spans="4:5" ht="12.75">
      <c r="D577" s="38"/>
      <c r="E577" s="38"/>
    </row>
    <row r="578" spans="4:5" ht="12.75">
      <c r="D578" s="38"/>
      <c r="E578" s="38"/>
    </row>
    <row r="579" spans="4:5" ht="12.75">
      <c r="D579" s="38"/>
      <c r="E579" s="38"/>
    </row>
    <row r="580" spans="4:5" ht="12.75">
      <c r="D580" s="38"/>
      <c r="E580" s="38"/>
    </row>
    <row r="581" spans="4:5" ht="12.75">
      <c r="D581" s="38"/>
      <c r="E581" s="38"/>
    </row>
    <row r="582" spans="4:5" ht="12.75">
      <c r="D582" s="38"/>
      <c r="E582" s="38"/>
    </row>
    <row r="583" spans="4:5" ht="12.75">
      <c r="D583" s="38"/>
      <c r="E583" s="38"/>
    </row>
    <row r="584" spans="4:5" ht="12.75">
      <c r="D584" s="38"/>
      <c r="E584" s="38"/>
    </row>
    <row r="585" spans="4:5" ht="12.75">
      <c r="D585" s="38"/>
      <c r="E585" s="38"/>
    </row>
    <row r="586" spans="4:5" ht="12.75">
      <c r="D586" s="38"/>
      <c r="E586" s="38"/>
    </row>
    <row r="587" spans="4:5" ht="12.75">
      <c r="D587" s="38"/>
      <c r="E587" s="38"/>
    </row>
    <row r="588" spans="4:5" ht="12.75">
      <c r="D588" s="38"/>
      <c r="E588" s="38"/>
    </row>
    <row r="589" spans="4:5" ht="12.75">
      <c r="D589" s="38"/>
      <c r="E589" s="38"/>
    </row>
    <row r="590" spans="4:5" ht="12.75">
      <c r="D590" s="38"/>
      <c r="E590" s="38"/>
    </row>
    <row r="591" spans="4:5" ht="12.75">
      <c r="D591" s="38"/>
      <c r="E591" s="38"/>
    </row>
    <row r="592" spans="4:5" ht="12.75">
      <c r="D592" s="38"/>
      <c r="E592" s="38"/>
    </row>
    <row r="593" spans="4:5" ht="12.75">
      <c r="D593" s="38"/>
      <c r="E593" s="38"/>
    </row>
    <row r="594" spans="4:5" ht="12.75">
      <c r="D594" s="38"/>
      <c r="E594" s="38"/>
    </row>
    <row r="595" spans="4:5" ht="12.75">
      <c r="D595" s="38"/>
      <c r="E595" s="38"/>
    </row>
    <row r="596" spans="4:5" ht="12.75">
      <c r="D596" s="38"/>
      <c r="E596" s="38"/>
    </row>
    <row r="597" spans="4:5" ht="12.75">
      <c r="D597" s="38"/>
      <c r="E597" s="38"/>
    </row>
    <row r="598" spans="4:5" ht="12.75">
      <c r="D598" s="38"/>
      <c r="E598" s="38"/>
    </row>
    <row r="599" spans="4:5" ht="12.75">
      <c r="D599" s="38"/>
      <c r="E599" s="38"/>
    </row>
    <row r="600" spans="4:5" ht="12.75">
      <c r="D600" s="38"/>
      <c r="E600" s="38"/>
    </row>
    <row r="601" spans="4:5" ht="12.75">
      <c r="D601" s="38"/>
      <c r="E601" s="38"/>
    </row>
    <row r="602" spans="4:5" ht="12.75">
      <c r="D602" s="38"/>
      <c r="E602" s="38"/>
    </row>
    <row r="603" spans="4:5" ht="12.75">
      <c r="D603" s="38"/>
      <c r="E603" s="38"/>
    </row>
    <row r="604" spans="4:5" ht="12.75">
      <c r="D604" s="38"/>
      <c r="E604" s="38"/>
    </row>
    <row r="605" spans="4:5" ht="12.75">
      <c r="D605" s="38"/>
      <c r="E605" s="38"/>
    </row>
    <row r="606" spans="4:5" ht="12.75">
      <c r="D606" s="38"/>
      <c r="E606" s="38"/>
    </row>
    <row r="607" spans="4:5" ht="12.75">
      <c r="D607" s="38"/>
      <c r="E607" s="38"/>
    </row>
    <row r="608" spans="4:5" ht="12.75">
      <c r="D608" s="38"/>
      <c r="E608" s="38"/>
    </row>
    <row r="609" spans="4:5" ht="12.75">
      <c r="D609" s="38"/>
      <c r="E609" s="38"/>
    </row>
    <row r="610" spans="4:5" ht="12.75">
      <c r="D610" s="38"/>
      <c r="E610" s="38"/>
    </row>
    <row r="611" spans="4:5" ht="12.75">
      <c r="D611" s="38"/>
      <c r="E611" s="38"/>
    </row>
    <row r="612" spans="4:5" ht="12.75">
      <c r="D612" s="38"/>
      <c r="E612" s="38"/>
    </row>
    <row r="613" spans="4:5" ht="12.75">
      <c r="D613" s="38"/>
      <c r="E613" s="38"/>
    </row>
    <row r="614" spans="4:5" ht="12.75">
      <c r="D614" s="38"/>
      <c r="E614" s="38"/>
    </row>
    <row r="615" spans="4:5" ht="12.75">
      <c r="D615" s="38"/>
      <c r="E615" s="38"/>
    </row>
    <row r="616" spans="4:5" ht="12.75">
      <c r="D616" s="38"/>
      <c r="E616" s="38"/>
    </row>
    <row r="617" spans="4:5" ht="12.75">
      <c r="D617" s="38"/>
      <c r="E617" s="38"/>
    </row>
    <row r="618" spans="4:5" ht="12.75">
      <c r="D618" s="38"/>
      <c r="E618" s="38"/>
    </row>
    <row r="619" spans="4:5" ht="12.75">
      <c r="D619" s="38"/>
      <c r="E619" s="38"/>
    </row>
    <row r="620" spans="4:5" ht="12.75">
      <c r="D620" s="38"/>
      <c r="E620" s="38"/>
    </row>
    <row r="621" spans="4:5" ht="12.75">
      <c r="D621" s="38"/>
      <c r="E621" s="38"/>
    </row>
    <row r="622" spans="4:5" ht="12.75">
      <c r="D622" s="38"/>
      <c r="E622" s="38"/>
    </row>
    <row r="623" spans="4:5" ht="12.75">
      <c r="D623" s="38"/>
      <c r="E623" s="38"/>
    </row>
    <row r="624" spans="4:5" ht="12.75">
      <c r="D624" s="38"/>
      <c r="E624" s="38"/>
    </row>
    <row r="625" spans="4:5" ht="12.75">
      <c r="D625" s="38"/>
      <c r="E625" s="38"/>
    </row>
    <row r="626" spans="4:5" ht="12.75">
      <c r="D626" s="38"/>
      <c r="E626" s="38"/>
    </row>
    <row r="627" spans="4:5" ht="12.75">
      <c r="D627" s="38"/>
      <c r="E627" s="38"/>
    </row>
    <row r="628" spans="4:5" ht="12.75">
      <c r="D628" s="38"/>
      <c r="E628" s="38"/>
    </row>
    <row r="629" spans="4:5" ht="12.75">
      <c r="D629" s="38"/>
      <c r="E629" s="38"/>
    </row>
    <row r="630" spans="4:5" ht="12.75">
      <c r="D630" s="38"/>
      <c r="E630" s="38"/>
    </row>
    <row r="631" spans="4:5" ht="12.75">
      <c r="D631" s="38"/>
      <c r="E631" s="38"/>
    </row>
    <row r="632" spans="4:5" ht="12.75">
      <c r="D632" s="38"/>
      <c r="E632" s="38"/>
    </row>
    <row r="633" spans="4:5" ht="12.75">
      <c r="D633" s="38"/>
      <c r="E633" s="38"/>
    </row>
    <row r="634" spans="4:5" ht="12.75">
      <c r="D634" s="38"/>
      <c r="E634" s="38"/>
    </row>
    <row r="635" spans="4:5" ht="12.75">
      <c r="D635" s="38"/>
      <c r="E635" s="38"/>
    </row>
    <row r="636" spans="4:5" ht="12.75">
      <c r="D636" s="38"/>
      <c r="E636" s="38"/>
    </row>
    <row r="637" spans="4:5" ht="12.75">
      <c r="D637" s="38"/>
      <c r="E637" s="38"/>
    </row>
    <row r="638" spans="4:5" ht="12.75">
      <c r="D638" s="38"/>
      <c r="E638" s="38"/>
    </row>
    <row r="639" spans="4:5" ht="12.75">
      <c r="D639" s="38"/>
      <c r="E639" s="38"/>
    </row>
    <row r="640" spans="4:5" ht="12.75">
      <c r="D640" s="38"/>
      <c r="E640" s="38"/>
    </row>
    <row r="641" spans="4:5" ht="12.75">
      <c r="D641" s="38"/>
      <c r="E641" s="38"/>
    </row>
    <row r="642" spans="4:5" ht="12.75">
      <c r="D642" s="38"/>
      <c r="E642" s="38"/>
    </row>
    <row r="643" spans="4:5" ht="12.75">
      <c r="D643" s="38"/>
      <c r="E643" s="38"/>
    </row>
    <row r="644" spans="4:5" ht="12.75">
      <c r="D644" s="38"/>
      <c r="E644" s="38"/>
    </row>
    <row r="645" spans="4:5" ht="12.75">
      <c r="D645" s="38"/>
      <c r="E645" s="38"/>
    </row>
    <row r="646" spans="4:5" ht="12.75">
      <c r="D646" s="38"/>
      <c r="E646" s="38"/>
    </row>
    <row r="647" spans="4:5" ht="12.75">
      <c r="D647" s="38"/>
      <c r="E647" s="38"/>
    </row>
    <row r="648" spans="4:5" ht="12.75">
      <c r="D648" s="38"/>
      <c r="E648" s="38"/>
    </row>
    <row r="649" spans="4:5" ht="12.75">
      <c r="D649" s="38"/>
      <c r="E649" s="38"/>
    </row>
    <row r="650" spans="4:5" ht="12.75">
      <c r="D650" s="38"/>
      <c r="E650" s="38"/>
    </row>
    <row r="651" spans="4:5" ht="12.75">
      <c r="D651" s="38"/>
      <c r="E651" s="38"/>
    </row>
    <row r="652" spans="4:5" ht="12.75">
      <c r="D652" s="38"/>
      <c r="E652" s="38"/>
    </row>
    <row r="653" spans="4:5" ht="12.75">
      <c r="D653" s="38"/>
      <c r="E653" s="38"/>
    </row>
    <row r="654" spans="4:5" ht="12.75">
      <c r="D654" s="38"/>
      <c r="E654" s="38"/>
    </row>
    <row r="655" spans="4:5" ht="12.75">
      <c r="D655" s="38"/>
      <c r="E655" s="38"/>
    </row>
    <row r="656" spans="4:5" ht="12.75">
      <c r="D656" s="38"/>
      <c r="E656" s="38"/>
    </row>
    <row r="657" spans="4:5" ht="12.75">
      <c r="D657" s="38"/>
      <c r="E657" s="38"/>
    </row>
    <row r="658" spans="4:5" ht="12.75">
      <c r="D658" s="38"/>
      <c r="E658" s="38"/>
    </row>
    <row r="659" spans="4:5" ht="12.75">
      <c r="D659" s="38"/>
      <c r="E659" s="38"/>
    </row>
    <row r="660" spans="4:5" ht="12.75">
      <c r="D660" s="38"/>
      <c r="E660" s="38"/>
    </row>
    <row r="661" spans="4:5" ht="12.75">
      <c r="D661" s="38"/>
      <c r="E661" s="38"/>
    </row>
    <row r="662" spans="4:5" ht="12.75">
      <c r="D662" s="38"/>
      <c r="E662" s="38"/>
    </row>
    <row r="663" spans="4:5" ht="12.75">
      <c r="D663" s="38"/>
      <c r="E663" s="38"/>
    </row>
    <row r="664" spans="4:5" ht="12.75">
      <c r="D664" s="38"/>
      <c r="E664" s="38"/>
    </row>
    <row r="665" spans="4:5" ht="12.75">
      <c r="D665" s="38"/>
      <c r="E665" s="38"/>
    </row>
    <row r="666" spans="4:5" ht="12.75">
      <c r="D666" s="38"/>
      <c r="E666" s="38"/>
    </row>
    <row r="667" spans="4:5" ht="12.75">
      <c r="D667" s="38"/>
      <c r="E667" s="38"/>
    </row>
    <row r="668" spans="4:5" ht="12.75">
      <c r="D668" s="38"/>
      <c r="E668" s="38"/>
    </row>
    <row r="669" spans="4:5" ht="12.75">
      <c r="D669" s="38"/>
      <c r="E669" s="38"/>
    </row>
    <row r="670" spans="4:5" ht="12.75">
      <c r="D670" s="38"/>
      <c r="E670" s="38"/>
    </row>
    <row r="671" spans="4:5" ht="12.75">
      <c r="D671" s="38"/>
      <c r="E671" s="38"/>
    </row>
    <row r="672" spans="4:5" ht="12.75">
      <c r="D672" s="38"/>
      <c r="E672" s="38"/>
    </row>
    <row r="673" spans="4:5" ht="12.75">
      <c r="D673" s="38"/>
      <c r="E673" s="38"/>
    </row>
    <row r="674" spans="4:5" ht="12.75">
      <c r="D674" s="38"/>
      <c r="E674" s="38"/>
    </row>
    <row r="675" spans="4:5" ht="12.75">
      <c r="D675" s="38"/>
      <c r="E675" s="38"/>
    </row>
    <row r="676" spans="4:5" ht="12.75">
      <c r="D676" s="38"/>
      <c r="E676" s="38"/>
    </row>
    <row r="677" spans="4:5" ht="12.75">
      <c r="D677" s="38"/>
      <c r="E677" s="38"/>
    </row>
    <row r="678" spans="4:5" ht="12.75">
      <c r="D678" s="38"/>
      <c r="E678" s="38"/>
    </row>
    <row r="679" spans="4:5" ht="12.75">
      <c r="D679" s="38"/>
      <c r="E679" s="38"/>
    </row>
    <row r="680" spans="4:5" ht="12.75">
      <c r="D680" s="38"/>
      <c r="E680" s="38"/>
    </row>
    <row r="681" spans="4:5" ht="12.75">
      <c r="D681" s="38"/>
      <c r="E681" s="38"/>
    </row>
    <row r="682" spans="4:5" ht="12.75">
      <c r="D682" s="38"/>
      <c r="E682" s="38"/>
    </row>
    <row r="683" spans="4:5" ht="12.75">
      <c r="D683" s="38"/>
      <c r="E683" s="38"/>
    </row>
    <row r="684" spans="4:5" ht="12.75">
      <c r="D684" s="38"/>
      <c r="E684" s="38"/>
    </row>
    <row r="685" spans="4:5" ht="12.75">
      <c r="D685" s="38"/>
      <c r="E685" s="38"/>
    </row>
    <row r="686" spans="4:5" ht="12.75">
      <c r="D686" s="38"/>
      <c r="E686" s="38"/>
    </row>
    <row r="687" spans="4:5" ht="12.75">
      <c r="D687" s="38"/>
      <c r="E687" s="38"/>
    </row>
    <row r="688" spans="4:5" ht="12.75">
      <c r="D688" s="38"/>
      <c r="E688" s="38"/>
    </row>
    <row r="689" spans="4:5" ht="12.75">
      <c r="D689" s="38"/>
      <c r="E689" s="38"/>
    </row>
    <row r="690" spans="4:5" ht="12.75">
      <c r="D690" s="38"/>
      <c r="E690" s="38"/>
    </row>
    <row r="691" spans="4:5" ht="12.75">
      <c r="D691" s="38"/>
      <c r="E691" s="38"/>
    </row>
    <row r="692" spans="4:5" ht="12.75">
      <c r="D692" s="38"/>
      <c r="E692" s="38"/>
    </row>
    <row r="693" spans="4:5" ht="12.75">
      <c r="D693" s="38"/>
      <c r="E693" s="38"/>
    </row>
    <row r="694" spans="4:5" ht="12.75">
      <c r="D694" s="38"/>
      <c r="E694" s="38"/>
    </row>
    <row r="695" spans="4:5" ht="12.75">
      <c r="D695" s="38"/>
      <c r="E695" s="38"/>
    </row>
    <row r="696" spans="4:5" ht="12.75">
      <c r="D696" s="38"/>
      <c r="E696" s="38"/>
    </row>
    <row r="697" spans="4:5" ht="12.75">
      <c r="D697" s="38"/>
      <c r="E697" s="38"/>
    </row>
    <row r="698" spans="4:5" ht="12.75">
      <c r="D698" s="38"/>
      <c r="E698" s="38"/>
    </row>
    <row r="699" spans="4:5" ht="12.75">
      <c r="D699" s="38"/>
      <c r="E699" s="38"/>
    </row>
    <row r="700" spans="4:5" ht="12.75">
      <c r="D700" s="38"/>
      <c r="E700" s="38"/>
    </row>
    <row r="701" spans="4:5" ht="12.75">
      <c r="D701" s="38"/>
      <c r="E701" s="38"/>
    </row>
    <row r="702" spans="4:5" ht="12.75">
      <c r="D702" s="38"/>
      <c r="E702" s="38"/>
    </row>
    <row r="703" spans="4:5" ht="12.75">
      <c r="D703" s="38"/>
      <c r="E703" s="38"/>
    </row>
    <row r="704" spans="4:5" ht="12.75">
      <c r="D704" s="38"/>
      <c r="E704" s="38"/>
    </row>
    <row r="705" spans="4:5" ht="12.75">
      <c r="D705" s="38"/>
      <c r="E705" s="38"/>
    </row>
    <row r="706" spans="4:5" ht="12.75">
      <c r="D706" s="38"/>
      <c r="E706" s="38"/>
    </row>
    <row r="707" spans="4:5" ht="12.75">
      <c r="D707" s="38"/>
      <c r="E707" s="38"/>
    </row>
    <row r="708" spans="4:5" ht="12.75">
      <c r="D708" s="38"/>
      <c r="E708" s="38"/>
    </row>
    <row r="709" spans="4:5" ht="12.75">
      <c r="D709" s="38"/>
      <c r="E709" s="38"/>
    </row>
    <row r="710" spans="4:5" ht="12.75">
      <c r="D710" s="38"/>
      <c r="E710" s="38"/>
    </row>
    <row r="711" spans="4:5" ht="12.75">
      <c r="D711" s="38"/>
      <c r="E711" s="38"/>
    </row>
    <row r="712" spans="4:5" ht="12.75">
      <c r="D712" s="38"/>
      <c r="E712" s="38"/>
    </row>
    <row r="713" spans="4:5" ht="12.75">
      <c r="D713" s="38"/>
      <c r="E713" s="38"/>
    </row>
    <row r="714" spans="4:5" ht="12.75">
      <c r="D714" s="38"/>
      <c r="E714" s="38"/>
    </row>
    <row r="715" spans="4:5" ht="12.75">
      <c r="D715" s="38"/>
      <c r="E715" s="38"/>
    </row>
    <row r="716" spans="4:5" ht="12.75">
      <c r="D716" s="38"/>
      <c r="E716" s="38"/>
    </row>
    <row r="717" spans="4:5" ht="12.75">
      <c r="D717" s="38"/>
      <c r="E717" s="38"/>
    </row>
    <row r="718" spans="4:5" ht="12.75">
      <c r="D718" s="38"/>
      <c r="E718" s="38"/>
    </row>
    <row r="719" spans="4:5" ht="12.75">
      <c r="D719" s="38"/>
      <c r="E719" s="38"/>
    </row>
    <row r="720" spans="4:5" ht="12.75">
      <c r="D720" s="38"/>
      <c r="E720" s="38"/>
    </row>
    <row r="721" spans="4:5" ht="12.75">
      <c r="D721" s="38"/>
      <c r="E721" s="38"/>
    </row>
    <row r="722" spans="4:5" ht="12.75">
      <c r="D722" s="38"/>
      <c r="E722" s="38"/>
    </row>
    <row r="723" spans="4:5" ht="12.75">
      <c r="D723" s="38"/>
      <c r="E723" s="38"/>
    </row>
    <row r="724" spans="4:5" ht="12.75">
      <c r="D724" s="38"/>
      <c r="E724" s="38"/>
    </row>
    <row r="725" spans="4:5" ht="12.75">
      <c r="D725" s="38"/>
      <c r="E725" s="38"/>
    </row>
    <row r="726" spans="4:5" ht="12.75">
      <c r="D726" s="38"/>
      <c r="E726" s="38"/>
    </row>
    <row r="727" spans="4:5" ht="12.75">
      <c r="D727" s="38"/>
      <c r="E727" s="38"/>
    </row>
    <row r="728" spans="4:5" ht="12.75">
      <c r="D728" s="38"/>
      <c r="E728" s="38"/>
    </row>
    <row r="729" spans="4:5" ht="12.75">
      <c r="D729" s="38"/>
      <c r="E729" s="38"/>
    </row>
    <row r="730" spans="4:5" ht="12.75">
      <c r="D730" s="38"/>
      <c r="E730" s="38"/>
    </row>
    <row r="731" spans="4:5" ht="12.75">
      <c r="D731" s="38"/>
      <c r="E731" s="38"/>
    </row>
    <row r="732" spans="4:5" ht="12.75">
      <c r="D732" s="38"/>
      <c r="E732" s="38"/>
    </row>
    <row r="733" spans="4:5" ht="12.75">
      <c r="D733" s="38"/>
      <c r="E733" s="38"/>
    </row>
    <row r="734" spans="4:5" ht="12.75">
      <c r="D734" s="38"/>
      <c r="E734" s="38"/>
    </row>
    <row r="735" spans="4:5" ht="12.75">
      <c r="D735" s="38"/>
      <c r="E735" s="38"/>
    </row>
    <row r="736" spans="4:5" ht="12.75">
      <c r="D736" s="38"/>
      <c r="E736" s="38"/>
    </row>
    <row r="737" spans="4:5" ht="12.75">
      <c r="D737" s="38"/>
      <c r="E737" s="38"/>
    </row>
    <row r="738" spans="4:5" ht="12.75">
      <c r="D738" s="38"/>
      <c r="E738" s="38"/>
    </row>
    <row r="739" spans="4:5" ht="12.75">
      <c r="D739" s="38"/>
      <c r="E739" s="38"/>
    </row>
    <row r="740" spans="4:5" ht="12.75">
      <c r="D740" s="38"/>
      <c r="E740" s="38"/>
    </row>
    <row r="741" spans="4:5" ht="12.75">
      <c r="D741" s="38"/>
      <c r="E741" s="38"/>
    </row>
    <row r="742" spans="4:5" ht="12.75">
      <c r="D742" s="38"/>
      <c r="E742" s="38"/>
    </row>
    <row r="743" spans="4:5" ht="12.75">
      <c r="D743" s="38"/>
      <c r="E743" s="38"/>
    </row>
    <row r="744" spans="4:5" ht="12.75">
      <c r="D744" s="38"/>
      <c r="E744" s="38"/>
    </row>
    <row r="745" spans="4:5" ht="12.75">
      <c r="D745" s="38"/>
      <c r="E745" s="38"/>
    </row>
    <row r="746" spans="4:5" ht="12.75">
      <c r="D746" s="38"/>
      <c r="E746" s="38"/>
    </row>
    <row r="747" spans="4:5" ht="12.75">
      <c r="D747" s="38"/>
      <c r="E747" s="38"/>
    </row>
    <row r="748" spans="4:5" ht="12.75">
      <c r="D748" s="38"/>
      <c r="E748" s="38"/>
    </row>
    <row r="749" spans="4:5" ht="12.75">
      <c r="D749" s="38"/>
      <c r="E749" s="38"/>
    </row>
    <row r="750" spans="4:5" ht="12.75">
      <c r="D750" s="38"/>
      <c r="E750" s="38"/>
    </row>
    <row r="751" spans="4:5" ht="12.75">
      <c r="D751" s="38"/>
      <c r="E751" s="38"/>
    </row>
    <row r="752" spans="4:5" ht="12.75">
      <c r="D752" s="38"/>
      <c r="E752" s="38"/>
    </row>
    <row r="753" spans="4:5" ht="12.75">
      <c r="D753" s="38"/>
      <c r="E753" s="38"/>
    </row>
    <row r="754" spans="4:5" ht="12.75">
      <c r="D754" s="38"/>
      <c r="E754" s="38"/>
    </row>
    <row r="755" spans="4:5" ht="12.75">
      <c r="D755" s="38"/>
      <c r="E755" s="38"/>
    </row>
    <row r="756" spans="4:5" ht="12.75">
      <c r="D756" s="38"/>
      <c r="E756" s="38"/>
    </row>
    <row r="757" spans="4:5" ht="12.75">
      <c r="D757" s="38"/>
      <c r="E757" s="38"/>
    </row>
    <row r="758" spans="4:5" ht="12.75">
      <c r="D758" s="38"/>
      <c r="E758" s="38"/>
    </row>
    <row r="759" spans="4:5" ht="12.75">
      <c r="D759" s="38"/>
      <c r="E759" s="38"/>
    </row>
    <row r="760" spans="4:5" ht="12.75">
      <c r="D760" s="38"/>
      <c r="E760" s="38"/>
    </row>
    <row r="761" spans="4:5" ht="12.75">
      <c r="D761" s="38"/>
      <c r="E761" s="38"/>
    </row>
    <row r="762" spans="4:5" ht="12.75">
      <c r="D762" s="38"/>
      <c r="E762" s="38"/>
    </row>
    <row r="763" spans="4:5" ht="12.75">
      <c r="D763" s="38"/>
      <c r="E763" s="38"/>
    </row>
    <row r="764" spans="4:5" ht="12.75">
      <c r="D764" s="38"/>
      <c r="E764" s="38"/>
    </row>
    <row r="765" spans="4:5" ht="12.75">
      <c r="D765" s="38"/>
      <c r="E765" s="38"/>
    </row>
    <row r="766" spans="4:5" ht="12.75">
      <c r="D766" s="38"/>
      <c r="E766" s="38"/>
    </row>
    <row r="767" spans="4:5" ht="12.75">
      <c r="D767" s="38"/>
      <c r="E767" s="38"/>
    </row>
    <row r="768" spans="4:5" ht="12.75">
      <c r="D768" s="38"/>
      <c r="E768" s="38"/>
    </row>
    <row r="769" spans="4:5" ht="12.75">
      <c r="D769" s="38"/>
      <c r="E769" s="38"/>
    </row>
    <row r="770" spans="4:5" ht="12.75">
      <c r="D770" s="38"/>
      <c r="E770" s="38"/>
    </row>
    <row r="771" spans="4:5" ht="12.75">
      <c r="D771" s="38"/>
      <c r="E771" s="38"/>
    </row>
    <row r="772" spans="4:5" ht="12.75">
      <c r="D772" s="38"/>
      <c r="E772" s="38"/>
    </row>
    <row r="773" spans="4:5" ht="12.75">
      <c r="D773" s="38"/>
      <c r="E773" s="38"/>
    </row>
    <row r="774" spans="4:5" ht="12.75">
      <c r="D774" s="38"/>
      <c r="E774" s="38"/>
    </row>
    <row r="775" spans="4:5" ht="12.75">
      <c r="D775" s="38"/>
      <c r="E775" s="38"/>
    </row>
    <row r="776" spans="4:5" ht="12.75">
      <c r="D776" s="38"/>
      <c r="E776" s="38"/>
    </row>
    <row r="777" spans="4:5" ht="12.75">
      <c r="D777" s="38"/>
      <c r="E777" s="38"/>
    </row>
    <row r="778" spans="4:5" ht="12.75">
      <c r="D778" s="38"/>
      <c r="E778" s="38"/>
    </row>
    <row r="779" spans="4:5" ht="12.75">
      <c r="D779" s="38"/>
      <c r="E779" s="38"/>
    </row>
    <row r="780" spans="4:5" ht="12.75">
      <c r="D780" s="38"/>
      <c r="E780" s="38"/>
    </row>
    <row r="781" spans="4:5" ht="12.75">
      <c r="D781" s="38"/>
      <c r="E781" s="38"/>
    </row>
    <row r="782" spans="4:5" ht="12.75">
      <c r="D782" s="38"/>
      <c r="E782" s="38"/>
    </row>
    <row r="783" spans="4:5" ht="12.75">
      <c r="D783" s="38"/>
      <c r="E783" s="38"/>
    </row>
    <row r="784" spans="4:5" ht="12.75">
      <c r="D784" s="38"/>
      <c r="E784" s="38"/>
    </row>
    <row r="785" spans="4:5" ht="12.75">
      <c r="D785" s="38"/>
      <c r="E785" s="38"/>
    </row>
    <row r="786" spans="4:5" ht="12.75">
      <c r="D786" s="38"/>
      <c r="E786" s="38"/>
    </row>
    <row r="787" spans="4:5" ht="12.75">
      <c r="D787" s="38"/>
      <c r="E787" s="38"/>
    </row>
    <row r="788" spans="4:5" ht="12.75">
      <c r="D788" s="38"/>
      <c r="E788" s="38"/>
    </row>
    <row r="789" spans="4:5" ht="12.75">
      <c r="D789" s="38"/>
      <c r="E789" s="38"/>
    </row>
    <row r="790" spans="4:5" ht="12.75">
      <c r="D790" s="38"/>
      <c r="E790" s="38"/>
    </row>
    <row r="791" spans="4:5" ht="12.75">
      <c r="D791" s="38"/>
      <c r="E791" s="38"/>
    </row>
    <row r="792" spans="4:5" ht="12.75">
      <c r="D792" s="38"/>
      <c r="E792" s="38"/>
    </row>
    <row r="793" spans="4:5" ht="12.75">
      <c r="D793" s="38"/>
      <c r="E793" s="38"/>
    </row>
    <row r="794" spans="4:5" ht="12.75">
      <c r="D794" s="38"/>
      <c r="E794" s="38"/>
    </row>
    <row r="795" spans="4:5" ht="12.75">
      <c r="D795" s="38"/>
      <c r="E795" s="38"/>
    </row>
    <row r="796" spans="4:5" ht="12.75">
      <c r="D796" s="38"/>
      <c r="E796" s="38"/>
    </row>
    <row r="797" spans="4:5" ht="12.75">
      <c r="D797" s="38"/>
      <c r="E797" s="38"/>
    </row>
    <row r="798" spans="4:5" ht="12.75">
      <c r="D798" s="38"/>
      <c r="E798" s="38"/>
    </row>
    <row r="799" spans="4:5" ht="12.75">
      <c r="D799" s="38"/>
      <c r="E799" s="38"/>
    </row>
    <row r="800" spans="4:5" ht="12.75">
      <c r="D800" s="38"/>
      <c r="E800" s="38"/>
    </row>
    <row r="801" spans="4:5" ht="12.75">
      <c r="D801" s="38"/>
      <c r="E801" s="38"/>
    </row>
    <row r="802" spans="4:5" ht="12.75">
      <c r="D802" s="38"/>
      <c r="E802" s="38"/>
    </row>
    <row r="803" spans="4:5" ht="12.75">
      <c r="D803" s="38"/>
      <c r="E803" s="38"/>
    </row>
    <row r="804" spans="4:5" ht="12.75">
      <c r="D804" s="38"/>
      <c r="E804" s="38"/>
    </row>
    <row r="805" spans="4:5" ht="12.75">
      <c r="D805" s="38"/>
      <c r="E805" s="38"/>
    </row>
    <row r="806" spans="4:5" ht="12.75">
      <c r="D806" s="38"/>
      <c r="E806" s="38"/>
    </row>
    <row r="807" spans="4:5" ht="12.75">
      <c r="D807" s="38"/>
      <c r="E807" s="38"/>
    </row>
    <row r="808" spans="4:5" ht="12.75">
      <c r="D808" s="38"/>
      <c r="E808" s="38"/>
    </row>
    <row r="809" spans="4:5" ht="12.75">
      <c r="D809" s="38"/>
      <c r="E809" s="38"/>
    </row>
    <row r="810" spans="4:5" ht="12.75">
      <c r="D810" s="38"/>
      <c r="E810" s="38"/>
    </row>
    <row r="811" spans="4:5" ht="12.75">
      <c r="D811" s="38"/>
      <c r="E811" s="38"/>
    </row>
    <row r="812" spans="4:5" ht="12.75">
      <c r="D812" s="38"/>
      <c r="E812" s="38"/>
    </row>
    <row r="813" spans="4:5" ht="12.75">
      <c r="D813" s="38"/>
      <c r="E813" s="38"/>
    </row>
    <row r="814" spans="4:5" ht="12.75">
      <c r="D814" s="38"/>
      <c r="E814" s="38"/>
    </row>
    <row r="815" spans="4:5" ht="12.75">
      <c r="D815" s="38"/>
      <c r="E815" s="38"/>
    </row>
    <row r="816" spans="4:5" ht="12.75">
      <c r="D816" s="38"/>
      <c r="E816" s="38"/>
    </row>
    <row r="817" spans="4:5" ht="12.75">
      <c r="D817" s="38"/>
      <c r="E817" s="38"/>
    </row>
    <row r="818" spans="4:5" ht="12.75">
      <c r="D818" s="38"/>
      <c r="E818" s="38"/>
    </row>
    <row r="819" spans="4:5" ht="12.75">
      <c r="D819" s="38"/>
      <c r="E819" s="38"/>
    </row>
    <row r="820" spans="4:5" ht="12.75">
      <c r="D820" s="38"/>
      <c r="E820" s="38"/>
    </row>
    <row r="821" spans="4:5" ht="12.75">
      <c r="D821" s="38"/>
      <c r="E821" s="38"/>
    </row>
    <row r="822" spans="4:5" ht="12.75">
      <c r="D822" s="38"/>
      <c r="E822" s="38"/>
    </row>
    <row r="823" spans="4:5" ht="12.75">
      <c r="D823" s="38"/>
      <c r="E823" s="38"/>
    </row>
    <row r="824" spans="4:5" ht="12.75">
      <c r="D824" s="38"/>
      <c r="E824" s="38"/>
    </row>
    <row r="825" spans="4:5" ht="12.75">
      <c r="D825" s="38"/>
      <c r="E825" s="38"/>
    </row>
    <row r="826" spans="4:5" ht="12.75">
      <c r="D826" s="38"/>
      <c r="E826" s="38"/>
    </row>
    <row r="827" spans="4:5" ht="12.75">
      <c r="D827" s="38"/>
      <c r="E827" s="38"/>
    </row>
    <row r="828" spans="4:5" ht="12.75">
      <c r="D828" s="38"/>
      <c r="E828" s="38"/>
    </row>
    <row r="829" spans="4:5" ht="12.75">
      <c r="D829" s="38"/>
      <c r="E829" s="38"/>
    </row>
    <row r="830" spans="4:5" ht="12.75">
      <c r="D830" s="38"/>
      <c r="E830" s="38"/>
    </row>
    <row r="831" spans="4:5" ht="12.75">
      <c r="D831" s="38"/>
      <c r="E831" s="38"/>
    </row>
    <row r="832" spans="4:5" ht="12.75">
      <c r="D832" s="38"/>
      <c r="E832" s="38"/>
    </row>
    <row r="833" spans="4:5" ht="12.75">
      <c r="D833" s="38"/>
      <c r="E833" s="38"/>
    </row>
    <row r="834" spans="4:5" ht="12.75">
      <c r="D834" s="38"/>
      <c r="E834" s="38"/>
    </row>
    <row r="835" spans="4:5" ht="12.75">
      <c r="D835" s="38"/>
      <c r="E835" s="38"/>
    </row>
    <row r="836" spans="4:5" ht="12.75">
      <c r="D836" s="38"/>
      <c r="E836" s="38"/>
    </row>
    <row r="837" spans="4:5" ht="12.75">
      <c r="D837" s="38"/>
      <c r="E837" s="38"/>
    </row>
    <row r="838" spans="4:5" ht="12.75">
      <c r="D838" s="38"/>
      <c r="E838" s="38"/>
    </row>
    <row r="839" spans="4:5" ht="12.75">
      <c r="D839" s="38"/>
      <c r="E839" s="38"/>
    </row>
    <row r="840" spans="4:5" ht="12.75">
      <c r="D840" s="38"/>
      <c r="E840" s="38"/>
    </row>
    <row r="841" spans="4:5" ht="12.75">
      <c r="D841" s="38"/>
      <c r="E841" s="38"/>
    </row>
    <row r="842" spans="4:5" ht="12.75">
      <c r="D842" s="38"/>
      <c r="E842" s="38"/>
    </row>
    <row r="843" spans="4:5" ht="12.75">
      <c r="D843" s="38"/>
      <c r="E843" s="38"/>
    </row>
    <row r="844" spans="4:5" ht="12.75">
      <c r="D844" s="38"/>
      <c r="E844" s="38"/>
    </row>
    <row r="845" spans="4:5" ht="12.75">
      <c r="D845" s="38"/>
      <c r="E845" s="38"/>
    </row>
    <row r="846" spans="4:5" ht="12.75">
      <c r="D846" s="38"/>
      <c r="E846" s="38"/>
    </row>
    <row r="847" spans="4:5" ht="12.75">
      <c r="D847" s="38"/>
      <c r="E847" s="38"/>
    </row>
    <row r="848" spans="4:5" ht="12.75">
      <c r="D848" s="38"/>
      <c r="E848" s="38"/>
    </row>
    <row r="849" spans="4:5" ht="12.75">
      <c r="D849" s="38"/>
      <c r="E849" s="38"/>
    </row>
    <row r="850" spans="4:5" ht="12.75">
      <c r="D850" s="38"/>
      <c r="E850" s="38"/>
    </row>
    <row r="851" spans="4:5" ht="12.75">
      <c r="D851" s="38"/>
      <c r="E851" s="38"/>
    </row>
    <row r="852" spans="4:5" ht="12.75">
      <c r="D852" s="38"/>
      <c r="E852" s="38"/>
    </row>
    <row r="853" spans="4:5" ht="12.75">
      <c r="D853" s="38"/>
      <c r="E853" s="38"/>
    </row>
    <row r="854" spans="4:5" ht="12.75">
      <c r="D854" s="38"/>
      <c r="E854" s="38"/>
    </row>
    <row r="855" spans="4:5" ht="12.75">
      <c r="D855" s="38"/>
      <c r="E855" s="38"/>
    </row>
    <row r="856" spans="4:5" ht="12.75">
      <c r="D856" s="38"/>
      <c r="E856" s="38"/>
    </row>
    <row r="857" spans="4:5" ht="12.75">
      <c r="D857" s="38"/>
      <c r="E857" s="38"/>
    </row>
    <row r="858" spans="4:5" ht="12.75">
      <c r="D858" s="38"/>
      <c r="E858" s="38"/>
    </row>
    <row r="859" spans="4:5" ht="12.75">
      <c r="D859" s="38"/>
      <c r="E859" s="38"/>
    </row>
    <row r="860" spans="4:5" ht="12.75">
      <c r="D860" s="38"/>
      <c r="E860" s="38"/>
    </row>
    <row r="861" spans="4:5" ht="12.75">
      <c r="D861" s="38"/>
      <c r="E861" s="38"/>
    </row>
    <row r="862" spans="4:5" ht="12.75">
      <c r="D862" s="38"/>
      <c r="E862" s="38"/>
    </row>
    <row r="863" spans="4:5" ht="12.75">
      <c r="D863" s="38"/>
      <c r="E863" s="38"/>
    </row>
    <row r="864" spans="4:5" ht="12.75">
      <c r="D864" s="38"/>
      <c r="E864" s="38"/>
    </row>
    <row r="865" spans="4:5" ht="12.75">
      <c r="D865" s="38"/>
      <c r="E865" s="38"/>
    </row>
    <row r="866" spans="4:5" ht="12.75">
      <c r="D866" s="38"/>
      <c r="E866" s="38"/>
    </row>
    <row r="867" spans="4:5" ht="12.75">
      <c r="D867" s="38"/>
      <c r="E867" s="38"/>
    </row>
    <row r="868" spans="4:5" ht="12.75">
      <c r="D868" s="38"/>
      <c r="E868" s="38"/>
    </row>
    <row r="869" spans="4:5" ht="12.75">
      <c r="D869" s="38"/>
      <c r="E869" s="38"/>
    </row>
    <row r="870" spans="4:5" ht="12.75">
      <c r="D870" s="38"/>
      <c r="E870" s="38"/>
    </row>
    <row r="871" spans="4:5" ht="12.75">
      <c r="D871" s="38"/>
      <c r="E871" s="38"/>
    </row>
    <row r="872" spans="4:5" ht="12.75">
      <c r="D872" s="38"/>
      <c r="E872" s="38"/>
    </row>
    <row r="873" spans="4:5" ht="12.75">
      <c r="D873" s="38"/>
      <c r="E873" s="38"/>
    </row>
    <row r="874" spans="4:5" ht="12.75">
      <c r="D874" s="38"/>
      <c r="E874" s="38"/>
    </row>
    <row r="875" spans="4:5" ht="12.75">
      <c r="D875" s="38"/>
      <c r="E875" s="38"/>
    </row>
    <row r="876" spans="4:5" ht="12.75">
      <c r="D876" s="38"/>
      <c r="E876" s="38"/>
    </row>
    <row r="877" spans="4:5" ht="12.75">
      <c r="D877" s="38"/>
      <c r="E877" s="38"/>
    </row>
    <row r="878" spans="4:5" ht="12.75">
      <c r="D878" s="38"/>
      <c r="E878" s="38"/>
    </row>
    <row r="879" spans="4:5" ht="12.75">
      <c r="D879" s="38"/>
      <c r="E879" s="38"/>
    </row>
    <row r="880" spans="4:5" ht="12.75">
      <c r="D880" s="38"/>
      <c r="E880" s="38"/>
    </row>
    <row r="881" spans="4:5" ht="12.75">
      <c r="D881" s="38"/>
      <c r="E881" s="38"/>
    </row>
    <row r="882" spans="4:5" ht="12.75">
      <c r="D882" s="38"/>
      <c r="E882" s="38"/>
    </row>
    <row r="883" spans="4:5" ht="12.75">
      <c r="D883" s="38"/>
      <c r="E883" s="38"/>
    </row>
    <row r="884" spans="4:5" ht="12.75">
      <c r="D884" s="38"/>
      <c r="E884" s="38"/>
    </row>
    <row r="885" spans="4:5" ht="12.75">
      <c r="D885" s="38"/>
      <c r="E885" s="38"/>
    </row>
    <row r="886" spans="4:5" ht="12.75">
      <c r="D886" s="38"/>
      <c r="E886" s="38"/>
    </row>
    <row r="887" spans="4:5" ht="12.75">
      <c r="D887" s="38"/>
      <c r="E887" s="38"/>
    </row>
    <row r="888" spans="4:5" ht="12.75">
      <c r="D888" s="38"/>
      <c r="E888" s="38"/>
    </row>
    <row r="889" spans="4:5" ht="12.75">
      <c r="D889" s="38"/>
      <c r="E889" s="38"/>
    </row>
    <row r="890" spans="4:5" ht="12.75">
      <c r="D890" s="38"/>
      <c r="E890" s="38"/>
    </row>
    <row r="891" spans="4:5" ht="12.75">
      <c r="D891" s="38"/>
      <c r="E891" s="38"/>
    </row>
    <row r="892" spans="4:5" ht="12.75">
      <c r="D892" s="38"/>
      <c r="E892" s="38"/>
    </row>
    <row r="893" spans="4:5" ht="12.75">
      <c r="D893" s="38"/>
      <c r="E893" s="38"/>
    </row>
    <row r="894" spans="4:5" ht="12.75">
      <c r="D894" s="38"/>
      <c r="E894" s="38"/>
    </row>
    <row r="895" spans="4:5" ht="12.75">
      <c r="D895" s="38"/>
      <c r="E895" s="38"/>
    </row>
    <row r="896" spans="4:5" ht="12.75">
      <c r="D896" s="38"/>
      <c r="E896" s="38"/>
    </row>
    <row r="897" spans="4:5" ht="12.75">
      <c r="D897" s="38"/>
      <c r="E897" s="38"/>
    </row>
    <row r="898" spans="4:5" ht="12.75">
      <c r="D898" s="38"/>
      <c r="E898" s="38"/>
    </row>
    <row r="899" spans="4:5" ht="12.75">
      <c r="D899" s="38"/>
      <c r="E899" s="38"/>
    </row>
    <row r="900" spans="4:5" ht="12.75">
      <c r="D900" s="38"/>
      <c r="E900" s="38"/>
    </row>
    <row r="901" spans="4:5" ht="12.75">
      <c r="D901" s="38"/>
      <c r="E901" s="38"/>
    </row>
    <row r="902" spans="4:5" ht="12.75">
      <c r="D902" s="38"/>
      <c r="E902" s="38"/>
    </row>
    <row r="903" spans="4:5" ht="12.75">
      <c r="D903" s="38"/>
      <c r="E903" s="38"/>
    </row>
    <row r="904" spans="4:5" ht="12.75">
      <c r="D904" s="38"/>
      <c r="E904" s="38"/>
    </row>
    <row r="905" spans="4:5" ht="12.75">
      <c r="D905" s="38"/>
      <c r="E905" s="38"/>
    </row>
    <row r="906" spans="4:5" ht="12.75">
      <c r="D906" s="38"/>
      <c r="E906" s="38"/>
    </row>
    <row r="907" spans="4:5" ht="12.75">
      <c r="D907" s="38"/>
      <c r="E907" s="38"/>
    </row>
    <row r="908" spans="4:5" ht="12.75">
      <c r="D908" s="38"/>
      <c r="E908" s="38"/>
    </row>
    <row r="909" spans="4:5" ht="12.75">
      <c r="D909" s="38"/>
      <c r="E909" s="38"/>
    </row>
    <row r="910" spans="4:5" ht="12.75">
      <c r="D910" s="38"/>
      <c r="E910" s="38"/>
    </row>
    <row r="911" spans="4:5" ht="12.75">
      <c r="D911" s="38"/>
      <c r="E911" s="38"/>
    </row>
    <row r="912" spans="4:5" ht="12.75">
      <c r="D912" s="38"/>
      <c r="E912" s="38"/>
    </row>
    <row r="913" spans="4:5" ht="12.75">
      <c r="D913" s="38"/>
      <c r="E913" s="38"/>
    </row>
    <row r="914" spans="4:5" ht="12.75">
      <c r="D914" s="38"/>
      <c r="E914" s="38"/>
    </row>
    <row r="915" spans="4:5" ht="12.75">
      <c r="D915" s="38"/>
      <c r="E915" s="38"/>
    </row>
    <row r="916" spans="4:5" ht="12.75">
      <c r="D916" s="38"/>
      <c r="E916" s="38"/>
    </row>
    <row r="917" spans="4:5" ht="12.75">
      <c r="D917" s="38"/>
      <c r="E917" s="38"/>
    </row>
    <row r="918" spans="4:5" ht="12.75">
      <c r="D918" s="38"/>
      <c r="E918" s="38"/>
    </row>
    <row r="919" spans="4:5" ht="12.75">
      <c r="D919" s="38"/>
      <c r="E919" s="38"/>
    </row>
    <row r="920" spans="4:5" ht="12.75">
      <c r="D920" s="38"/>
      <c r="E920" s="38"/>
    </row>
    <row r="921" spans="4:5" ht="12.75">
      <c r="D921" s="38"/>
      <c r="E921" s="38"/>
    </row>
    <row r="922" spans="4:5" ht="12.75">
      <c r="D922" s="38"/>
      <c r="E922" s="38"/>
    </row>
    <row r="923" spans="4:5" ht="12.75">
      <c r="D923" s="38"/>
      <c r="E923" s="38"/>
    </row>
    <row r="924" spans="4:5" ht="12.75">
      <c r="D924" s="38"/>
      <c r="E924" s="38"/>
    </row>
    <row r="925" spans="4:5" ht="12.75">
      <c r="D925" s="38"/>
      <c r="E925" s="38"/>
    </row>
    <row r="926" spans="4:5" ht="12.75">
      <c r="D926" s="38"/>
      <c r="E926" s="38"/>
    </row>
    <row r="927" spans="4:5" ht="12.75">
      <c r="D927" s="38"/>
      <c r="E927" s="38"/>
    </row>
    <row r="928" spans="4:5" ht="12.75">
      <c r="D928" s="38"/>
      <c r="E928" s="38"/>
    </row>
    <row r="929" spans="4:5" ht="12.75">
      <c r="D929" s="38"/>
      <c r="E929" s="38"/>
    </row>
    <row r="930" spans="4:5" ht="12.75">
      <c r="D930" s="38"/>
      <c r="E930" s="38"/>
    </row>
    <row r="931" spans="4:5" ht="12.75">
      <c r="D931" s="38"/>
      <c r="E931" s="38"/>
    </row>
    <row r="932" spans="4:5" ht="12.75">
      <c r="D932" s="38"/>
      <c r="E932" s="38"/>
    </row>
    <row r="933" spans="4:5" ht="12.75">
      <c r="D933" s="38"/>
      <c r="E933" s="38"/>
    </row>
    <row r="934" spans="4:5" ht="12.75">
      <c r="D934" s="38"/>
      <c r="E934" s="38"/>
    </row>
    <row r="935" spans="4:5" ht="12.75">
      <c r="D935" s="38"/>
      <c r="E935" s="38"/>
    </row>
    <row r="936" spans="4:5" ht="12.75">
      <c r="D936" s="38"/>
      <c r="E936" s="38"/>
    </row>
    <row r="937" spans="4:5" ht="12.75">
      <c r="D937" s="38"/>
      <c r="E937" s="38"/>
    </row>
    <row r="938" spans="4:5" ht="12.75">
      <c r="D938" s="38"/>
      <c r="E938" s="38"/>
    </row>
    <row r="939" spans="4:5" ht="12.75">
      <c r="D939" s="38"/>
      <c r="E939" s="38"/>
    </row>
    <row r="940" spans="4:5" ht="12.75">
      <c r="D940" s="38"/>
      <c r="E940" s="38"/>
    </row>
    <row r="941" spans="4:5" ht="12.75">
      <c r="D941" s="38"/>
      <c r="E941" s="38"/>
    </row>
    <row r="942" spans="4:5" ht="12.75">
      <c r="D942" s="38"/>
      <c r="E942" s="38"/>
    </row>
    <row r="943" spans="4:5" ht="12.75">
      <c r="D943" s="38"/>
      <c r="E943" s="38"/>
    </row>
    <row r="944" spans="4:5" ht="12.75">
      <c r="D944" s="38"/>
      <c r="E944" s="38"/>
    </row>
    <row r="945" spans="4:5" ht="12.75">
      <c r="D945" s="38"/>
      <c r="E945" s="38"/>
    </row>
    <row r="946" spans="4:5" ht="12.75">
      <c r="D946" s="38"/>
      <c r="E946" s="38"/>
    </row>
    <row r="947" spans="4:5" ht="12.75">
      <c r="D947" s="38"/>
      <c r="E947" s="38"/>
    </row>
    <row r="948" spans="4:5" ht="12.75">
      <c r="D948" s="38"/>
      <c r="E948" s="38"/>
    </row>
    <row r="949" spans="4:5" ht="12.75">
      <c r="D949" s="38"/>
      <c r="E949" s="38"/>
    </row>
    <row r="950" spans="4:5" ht="12.75">
      <c r="D950" s="38"/>
      <c r="E950" s="38"/>
    </row>
    <row r="951" spans="4:5" ht="12.75">
      <c r="D951" s="38"/>
      <c r="E951" s="38"/>
    </row>
    <row r="952" spans="4:5" ht="12.75">
      <c r="D952" s="38"/>
      <c r="E952" s="38"/>
    </row>
    <row r="953" spans="4:5" ht="12.75">
      <c r="D953" s="38"/>
      <c r="E953" s="38"/>
    </row>
    <row r="954" spans="4:5" ht="12.75">
      <c r="D954" s="38"/>
      <c r="E954" s="38"/>
    </row>
    <row r="955" spans="4:5" ht="12.75">
      <c r="D955" s="38"/>
      <c r="E955" s="38"/>
    </row>
    <row r="956" spans="4:5" ht="12.75">
      <c r="D956" s="38"/>
      <c r="E956" s="38"/>
    </row>
    <row r="957" spans="4:5" ht="12.75">
      <c r="D957" s="38"/>
      <c r="E957" s="38"/>
    </row>
    <row r="958" spans="4:5" ht="12.75">
      <c r="D958" s="38"/>
      <c r="E958" s="38"/>
    </row>
    <row r="959" spans="4:5" ht="12.75">
      <c r="D959" s="38"/>
      <c r="E959" s="38"/>
    </row>
    <row r="960" spans="4:5" ht="12.75">
      <c r="D960" s="38"/>
      <c r="E960" s="38"/>
    </row>
    <row r="961" spans="4:5" ht="12.75">
      <c r="D961" s="38"/>
      <c r="E961" s="38"/>
    </row>
    <row r="962" spans="4:5" ht="12.75">
      <c r="D962" s="38"/>
      <c r="E962" s="38"/>
    </row>
    <row r="963" spans="4:5" ht="12.75">
      <c r="D963" s="38"/>
      <c r="E963" s="38"/>
    </row>
    <row r="964" spans="4:5" ht="12.75">
      <c r="D964" s="38"/>
      <c r="E964" s="38"/>
    </row>
    <row r="965" spans="4:5" ht="12.75">
      <c r="D965" s="38"/>
      <c r="E965" s="38"/>
    </row>
    <row r="966" spans="4:5" ht="12.75">
      <c r="D966" s="38"/>
      <c r="E966" s="38"/>
    </row>
  </sheetData>
  <autoFilter ref="A1:AA210"/>
  <mergeCells count="2">
    <mergeCell ref="B1:C1"/>
    <mergeCell ref="H1:J1"/>
  </mergeCells>
  <dataValidations count="1">
    <dataValidation type="list" allowBlank="1" showErrorMessage="1" sqref="L3:L350">
      <formula1>"SL6 (26),SL4 (26),SL2 (26),SP6 (26),SK6 (26),SK4 (26),B6,B4,H (np),JP8,J8,J5,J4,J2,D8 (173),D4 (173)"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3"/>
  <sheetViews>
    <sheetView tabSelected="1" workbookViewId="0">
      <selection activeCell="E7" sqref="E7"/>
    </sheetView>
  </sheetViews>
  <sheetFormatPr defaultRowHeight="12.75"/>
  <cols>
    <col min="1" max="1" width="20" customWidth="1"/>
    <col min="2" max="2" width="40.5703125" customWidth="1"/>
  </cols>
  <sheetData>
    <row r="1" spans="1:2" ht="24.75" customHeight="1">
      <c r="A1" s="50" t="s">
        <v>5</v>
      </c>
      <c r="B1" s="50" t="s">
        <v>1591</v>
      </c>
    </row>
    <row r="2" spans="1:2">
      <c r="A2" s="47" t="s">
        <v>15</v>
      </c>
      <c r="B2" s="47" t="s">
        <v>1590</v>
      </c>
    </row>
    <row r="3" spans="1:2">
      <c r="A3" s="48" t="s">
        <v>15</v>
      </c>
      <c r="B3" s="47" t="s">
        <v>1590</v>
      </c>
    </row>
    <row r="4" spans="1:2">
      <c r="A4" s="47" t="s">
        <v>15</v>
      </c>
      <c r="B4" s="47" t="s">
        <v>1590</v>
      </c>
    </row>
    <row r="5" spans="1:2">
      <c r="A5" s="48" t="s">
        <v>15</v>
      </c>
      <c r="B5" s="47" t="s">
        <v>1590</v>
      </c>
    </row>
    <row r="6" spans="1:2">
      <c r="A6" s="47" t="s">
        <v>15</v>
      </c>
      <c r="B6" s="47" t="s">
        <v>1590</v>
      </c>
    </row>
    <row r="7" spans="1:2">
      <c r="A7" s="48" t="s">
        <v>15</v>
      </c>
      <c r="B7" s="47" t="s">
        <v>1590</v>
      </c>
    </row>
    <row r="8" spans="1:2">
      <c r="A8" s="47" t="s">
        <v>15</v>
      </c>
      <c r="B8" s="47" t="s">
        <v>1590</v>
      </c>
    </row>
    <row r="9" spans="1:2">
      <c r="A9" s="48" t="s">
        <v>15</v>
      </c>
      <c r="B9" s="47" t="s">
        <v>1590</v>
      </c>
    </row>
    <row r="10" spans="1:2">
      <c r="A10" s="47" t="s">
        <v>52</v>
      </c>
      <c r="B10" s="47" t="s">
        <v>1590</v>
      </c>
    </row>
    <row r="11" spans="1:2">
      <c r="A11" s="48" t="s">
        <v>52</v>
      </c>
      <c r="B11" s="47" t="s">
        <v>1590</v>
      </c>
    </row>
    <row r="12" spans="1:2">
      <c r="A12" s="47" t="s">
        <v>63</v>
      </c>
      <c r="B12" s="47" t="s">
        <v>1590</v>
      </c>
    </row>
    <row r="13" spans="1:2">
      <c r="A13" s="48" t="s">
        <v>63</v>
      </c>
      <c r="B13" s="47" t="s">
        <v>1590</v>
      </c>
    </row>
    <row r="14" spans="1:2">
      <c r="A14" s="47" t="s">
        <v>63</v>
      </c>
      <c r="B14" s="47" t="s">
        <v>1590</v>
      </c>
    </row>
    <row r="15" spans="1:2">
      <c r="A15" s="48" t="s">
        <v>63</v>
      </c>
      <c r="B15" s="47" t="s">
        <v>1590</v>
      </c>
    </row>
    <row r="16" spans="1:2">
      <c r="A16" s="47" t="s">
        <v>70</v>
      </c>
      <c r="B16" s="47" t="s">
        <v>1590</v>
      </c>
    </row>
    <row r="17" spans="1:2">
      <c r="A17" s="48" t="s">
        <v>70</v>
      </c>
      <c r="B17" s="47" t="s">
        <v>1590</v>
      </c>
    </row>
    <row r="18" spans="1:2">
      <c r="A18" s="47" t="s">
        <v>76</v>
      </c>
      <c r="B18" s="47" t="s">
        <v>1590</v>
      </c>
    </row>
    <row r="19" spans="1:2">
      <c r="A19" s="48" t="s">
        <v>52</v>
      </c>
      <c r="B19" s="47" t="s">
        <v>1590</v>
      </c>
    </row>
    <row r="20" spans="1:2">
      <c r="A20" s="47" t="s">
        <v>52</v>
      </c>
      <c r="B20" s="47" t="s">
        <v>1590</v>
      </c>
    </row>
    <row r="21" spans="1:2">
      <c r="A21" s="48" t="s">
        <v>15</v>
      </c>
      <c r="B21" s="47" t="s">
        <v>1590</v>
      </c>
    </row>
    <row r="22" spans="1:2">
      <c r="A22" s="47" t="s">
        <v>70</v>
      </c>
      <c r="B22" s="47" t="s">
        <v>1590</v>
      </c>
    </row>
    <row r="23" spans="1:2">
      <c r="A23" s="48" t="s">
        <v>15</v>
      </c>
      <c r="B23" s="47" t="s">
        <v>1590</v>
      </c>
    </row>
    <row r="24" spans="1:2">
      <c r="A24" s="47" t="s">
        <v>15</v>
      </c>
      <c r="B24" s="47" t="s">
        <v>1590</v>
      </c>
    </row>
    <row r="25" spans="1:2">
      <c r="A25" s="48" t="s">
        <v>15</v>
      </c>
      <c r="B25" s="47" t="s">
        <v>1590</v>
      </c>
    </row>
    <row r="26" spans="1:2">
      <c r="A26" s="47" t="s">
        <v>15</v>
      </c>
      <c r="B26" s="47" t="s">
        <v>1590</v>
      </c>
    </row>
    <row r="27" spans="1:2">
      <c r="A27" s="48" t="s">
        <v>15</v>
      </c>
      <c r="B27" s="47" t="s">
        <v>1590</v>
      </c>
    </row>
    <row r="28" spans="1:2">
      <c r="A28" s="47" t="s">
        <v>15</v>
      </c>
      <c r="B28" s="47" t="s">
        <v>1590</v>
      </c>
    </row>
    <row r="29" spans="1:2">
      <c r="A29" s="48" t="s">
        <v>15</v>
      </c>
      <c r="B29" s="47" t="s">
        <v>1590</v>
      </c>
    </row>
    <row r="30" spans="1:2">
      <c r="A30" s="47" t="s">
        <v>15</v>
      </c>
      <c r="B30" s="47" t="s">
        <v>1590</v>
      </c>
    </row>
    <row r="31" spans="1:2">
      <c r="A31" s="48" t="s">
        <v>15</v>
      </c>
      <c r="B31" s="47" t="s">
        <v>1590</v>
      </c>
    </row>
    <row r="32" spans="1:2">
      <c r="A32" s="47" t="s">
        <v>52</v>
      </c>
      <c r="B32" s="47" t="s">
        <v>1590</v>
      </c>
    </row>
    <row r="33" spans="1:2">
      <c r="A33" s="48" t="s">
        <v>52</v>
      </c>
      <c r="B33" s="47" t="s">
        <v>1590</v>
      </c>
    </row>
    <row r="34" spans="1:2">
      <c r="A34" s="47" t="s">
        <v>52</v>
      </c>
      <c r="B34" s="47" t="s">
        <v>1590</v>
      </c>
    </row>
    <row r="35" spans="1:2">
      <c r="A35" s="48" t="s">
        <v>52</v>
      </c>
      <c r="B35" s="47" t="s">
        <v>1590</v>
      </c>
    </row>
    <row r="36" spans="1:2">
      <c r="A36" s="47" t="s">
        <v>15</v>
      </c>
      <c r="B36" s="47" t="s">
        <v>1590</v>
      </c>
    </row>
    <row r="37" spans="1:2">
      <c r="A37" s="48" t="s">
        <v>15</v>
      </c>
      <c r="B37" s="47" t="s">
        <v>1590</v>
      </c>
    </row>
    <row r="38" spans="1:2">
      <c r="A38" s="47" t="s">
        <v>52</v>
      </c>
      <c r="B38" s="47" t="s">
        <v>1590</v>
      </c>
    </row>
    <row r="39" spans="1:2">
      <c r="A39" s="48" t="s">
        <v>52</v>
      </c>
      <c r="B39" s="47" t="s">
        <v>1590</v>
      </c>
    </row>
    <row r="40" spans="1:2">
      <c r="A40" s="47" t="s">
        <v>52</v>
      </c>
      <c r="B40" s="47" t="s">
        <v>1590</v>
      </c>
    </row>
    <row r="41" spans="1:2">
      <c r="A41" s="48" t="s">
        <v>52</v>
      </c>
      <c r="B41" s="47" t="s">
        <v>1590</v>
      </c>
    </row>
    <row r="42" spans="1:2">
      <c r="A42" s="47" t="s">
        <v>52</v>
      </c>
      <c r="B42" s="47" t="s">
        <v>1590</v>
      </c>
    </row>
    <row r="43" spans="1:2">
      <c r="A43" s="48" t="s">
        <v>192</v>
      </c>
      <c r="B43" s="47" t="s">
        <v>1590</v>
      </c>
    </row>
    <row r="44" spans="1:2">
      <c r="A44" s="47" t="s">
        <v>15</v>
      </c>
      <c r="B44" s="47" t="s">
        <v>1590</v>
      </c>
    </row>
    <row r="45" spans="1:2">
      <c r="A45" s="48" t="s">
        <v>15</v>
      </c>
      <c r="B45" s="47" t="s">
        <v>1590</v>
      </c>
    </row>
    <row r="46" spans="1:2">
      <c r="A46" s="47" t="s">
        <v>15</v>
      </c>
      <c r="B46" s="47" t="s">
        <v>1590</v>
      </c>
    </row>
    <row r="47" spans="1:2">
      <c r="A47" s="48" t="s">
        <v>15</v>
      </c>
      <c r="B47" s="47" t="s">
        <v>1590</v>
      </c>
    </row>
    <row r="48" spans="1:2">
      <c r="A48" s="47" t="s">
        <v>15</v>
      </c>
      <c r="B48" s="47" t="s">
        <v>1590</v>
      </c>
    </row>
    <row r="49" spans="1:2">
      <c r="A49" s="48" t="s">
        <v>15</v>
      </c>
      <c r="B49" s="47" t="s">
        <v>1590</v>
      </c>
    </row>
    <row r="50" spans="1:2">
      <c r="A50" s="47" t="s">
        <v>15</v>
      </c>
      <c r="B50" s="47" t="s">
        <v>1590</v>
      </c>
    </row>
    <row r="51" spans="1:2">
      <c r="A51" s="48" t="s">
        <v>15</v>
      </c>
      <c r="B51" s="47" t="s">
        <v>1590</v>
      </c>
    </row>
    <row r="52" spans="1:2">
      <c r="A52" s="47" t="s">
        <v>15</v>
      </c>
      <c r="B52" s="47" t="s">
        <v>1590</v>
      </c>
    </row>
    <row r="53" spans="1:2">
      <c r="A53" s="48" t="s">
        <v>15</v>
      </c>
      <c r="B53" s="47" t="s">
        <v>1590</v>
      </c>
    </row>
    <row r="54" spans="1:2">
      <c r="A54" s="47" t="s">
        <v>76</v>
      </c>
      <c r="B54" s="47" t="s">
        <v>1590</v>
      </c>
    </row>
    <row r="55" spans="1:2">
      <c r="A55" s="48" t="s">
        <v>76</v>
      </c>
      <c r="B55" s="47" t="s">
        <v>1590</v>
      </c>
    </row>
    <row r="56" spans="1:2">
      <c r="A56" s="47" t="s">
        <v>76</v>
      </c>
      <c r="B56" s="47" t="s">
        <v>1590</v>
      </c>
    </row>
    <row r="57" spans="1:2">
      <c r="A57" s="48" t="s">
        <v>15</v>
      </c>
      <c r="B57" s="47" t="s">
        <v>1590</v>
      </c>
    </row>
    <row r="58" spans="1:2">
      <c r="A58" s="47" t="s">
        <v>52</v>
      </c>
      <c r="B58" s="47" t="s">
        <v>1590</v>
      </c>
    </row>
    <row r="59" spans="1:2">
      <c r="A59" s="48" t="s">
        <v>52</v>
      </c>
      <c r="B59" s="47" t="s">
        <v>1590</v>
      </c>
    </row>
    <row r="60" spans="1:2">
      <c r="A60" s="47" t="s">
        <v>52</v>
      </c>
      <c r="B60" s="47" t="s">
        <v>1590</v>
      </c>
    </row>
    <row r="61" spans="1:2">
      <c r="A61" s="48" t="s">
        <v>192</v>
      </c>
      <c r="B61" s="47" t="s">
        <v>1590</v>
      </c>
    </row>
    <row r="62" spans="1:2">
      <c r="A62" s="47" t="s">
        <v>15</v>
      </c>
      <c r="B62" s="47" t="s">
        <v>1590</v>
      </c>
    </row>
    <row r="63" spans="1:2">
      <c r="A63" s="48" t="s">
        <v>52</v>
      </c>
      <c r="B63" s="47" t="s">
        <v>1590</v>
      </c>
    </row>
    <row r="64" spans="1:2">
      <c r="A64" s="47" t="s">
        <v>52</v>
      </c>
      <c r="B64" s="47" t="s">
        <v>1590</v>
      </c>
    </row>
    <row r="65" spans="1:2">
      <c r="A65" s="48" t="s">
        <v>52</v>
      </c>
      <c r="B65" s="47" t="s">
        <v>1590</v>
      </c>
    </row>
    <row r="66" spans="1:2">
      <c r="A66" s="47" t="s">
        <v>52</v>
      </c>
      <c r="B66" s="47" t="s">
        <v>1590</v>
      </c>
    </row>
    <row r="67" spans="1:2">
      <c r="A67" s="48" t="s">
        <v>271</v>
      </c>
      <c r="B67" s="47" t="s">
        <v>1590</v>
      </c>
    </row>
    <row r="68" spans="1:2">
      <c r="A68" s="47" t="s">
        <v>52</v>
      </c>
      <c r="B68" s="47" t="s">
        <v>1590</v>
      </c>
    </row>
    <row r="69" spans="1:2">
      <c r="A69" s="48" t="s">
        <v>15</v>
      </c>
      <c r="B69" s="47" t="s">
        <v>1590</v>
      </c>
    </row>
    <row r="70" spans="1:2">
      <c r="A70" s="47" t="s">
        <v>52</v>
      </c>
      <c r="B70" s="47" t="s">
        <v>1590</v>
      </c>
    </row>
    <row r="71" spans="1:2">
      <c r="A71" s="48" t="s">
        <v>15</v>
      </c>
      <c r="B71" s="47" t="s">
        <v>1590</v>
      </c>
    </row>
    <row r="72" spans="1:2">
      <c r="A72" s="47" t="s">
        <v>52</v>
      </c>
      <c r="B72" s="47" t="s">
        <v>1590</v>
      </c>
    </row>
    <row r="73" spans="1:2">
      <c r="A73" s="48" t="s">
        <v>52</v>
      </c>
      <c r="B73" s="47" t="s">
        <v>1590</v>
      </c>
    </row>
    <row r="74" spans="1:2">
      <c r="A74" s="47" t="s">
        <v>271</v>
      </c>
      <c r="B74" s="47" t="s">
        <v>1590</v>
      </c>
    </row>
    <row r="75" spans="1:2">
      <c r="A75" s="48" t="s">
        <v>15</v>
      </c>
      <c r="B75" s="47" t="s">
        <v>1590</v>
      </c>
    </row>
    <row r="76" spans="1:2">
      <c r="A76" s="47" t="s">
        <v>52</v>
      </c>
      <c r="B76" s="47" t="s">
        <v>1590</v>
      </c>
    </row>
    <row r="77" spans="1:2">
      <c r="A77" s="48" t="s">
        <v>52</v>
      </c>
      <c r="B77" s="47" t="s">
        <v>1590</v>
      </c>
    </row>
    <row r="78" spans="1:2">
      <c r="A78" s="47" t="s">
        <v>52</v>
      </c>
      <c r="B78" s="47" t="s">
        <v>1590</v>
      </c>
    </row>
    <row r="79" spans="1:2">
      <c r="A79" s="48" t="s">
        <v>52</v>
      </c>
      <c r="B79" s="47" t="s">
        <v>1590</v>
      </c>
    </row>
    <row r="80" spans="1:2">
      <c r="A80" s="47" t="s">
        <v>15</v>
      </c>
      <c r="B80" s="47" t="s">
        <v>1590</v>
      </c>
    </row>
    <row r="81" spans="1:2">
      <c r="A81" s="48" t="s">
        <v>15</v>
      </c>
      <c r="B81" s="47" t="s">
        <v>1590</v>
      </c>
    </row>
    <row r="82" spans="1:2">
      <c r="A82" s="47" t="s">
        <v>15</v>
      </c>
      <c r="B82" s="47" t="s">
        <v>1590</v>
      </c>
    </row>
    <row r="83" spans="1:2">
      <c r="A83" s="48" t="s">
        <v>15</v>
      </c>
      <c r="B83" s="47" t="s">
        <v>1590</v>
      </c>
    </row>
    <row r="84" spans="1:2">
      <c r="A84" s="47" t="s">
        <v>15</v>
      </c>
      <c r="B84" s="47" t="s">
        <v>1590</v>
      </c>
    </row>
    <row r="85" spans="1:2">
      <c r="A85" s="48" t="s">
        <v>15</v>
      </c>
      <c r="B85" s="47" t="s">
        <v>1590</v>
      </c>
    </row>
    <row r="86" spans="1:2">
      <c r="A86" s="47" t="s">
        <v>76</v>
      </c>
      <c r="B86" s="47" t="s">
        <v>1590</v>
      </c>
    </row>
    <row r="87" spans="1:2">
      <c r="A87" s="48" t="s">
        <v>76</v>
      </c>
      <c r="B87" s="47" t="s">
        <v>1590</v>
      </c>
    </row>
    <row r="88" spans="1:2">
      <c r="A88" s="47" t="s">
        <v>271</v>
      </c>
      <c r="B88" s="47" t="s">
        <v>1590</v>
      </c>
    </row>
    <row r="89" spans="1:2">
      <c r="A89" s="48" t="s">
        <v>52</v>
      </c>
      <c r="B89" s="47" t="s">
        <v>1590</v>
      </c>
    </row>
    <row r="90" spans="1:2">
      <c r="A90" s="47" t="s">
        <v>52</v>
      </c>
      <c r="B90" s="47" t="s">
        <v>1590</v>
      </c>
    </row>
    <row r="91" spans="1:2">
      <c r="A91" s="48" t="s">
        <v>52</v>
      </c>
      <c r="B91" s="47" t="s">
        <v>1590</v>
      </c>
    </row>
    <row r="92" spans="1:2">
      <c r="A92" s="47" t="s">
        <v>52</v>
      </c>
      <c r="B92" s="47" t="s">
        <v>1590</v>
      </c>
    </row>
    <row r="93" spans="1:2">
      <c r="A93" s="48" t="s">
        <v>52</v>
      </c>
      <c r="B93" s="47" t="s">
        <v>1590</v>
      </c>
    </row>
    <row r="94" spans="1:2">
      <c r="A94" s="47" t="s">
        <v>52</v>
      </c>
      <c r="B94" s="47" t="s">
        <v>1590</v>
      </c>
    </row>
    <row r="95" spans="1:2">
      <c r="A95" s="48" t="s">
        <v>52</v>
      </c>
      <c r="B95" s="47" t="s">
        <v>1590</v>
      </c>
    </row>
    <row r="96" spans="1:2">
      <c r="A96" s="47" t="s">
        <v>52</v>
      </c>
      <c r="B96" s="47" t="s">
        <v>1590</v>
      </c>
    </row>
    <row r="97" spans="1:2">
      <c r="A97" s="48" t="s">
        <v>15</v>
      </c>
      <c r="B97" s="47" t="s">
        <v>1590</v>
      </c>
    </row>
    <row r="98" spans="1:2">
      <c r="A98" s="47" t="s">
        <v>52</v>
      </c>
      <c r="B98" s="47" t="s">
        <v>1590</v>
      </c>
    </row>
    <row r="99" spans="1:2">
      <c r="A99" s="48" t="s">
        <v>52</v>
      </c>
      <c r="B99" s="47" t="s">
        <v>1590</v>
      </c>
    </row>
    <row r="100" spans="1:2">
      <c r="A100" s="47" t="s">
        <v>52</v>
      </c>
      <c r="B100" s="47" t="s">
        <v>1590</v>
      </c>
    </row>
    <row r="101" spans="1:2">
      <c r="A101" s="48" t="s">
        <v>52</v>
      </c>
      <c r="B101" s="47" t="s">
        <v>1590</v>
      </c>
    </row>
    <row r="102" spans="1:2">
      <c r="A102" s="47" t="s">
        <v>271</v>
      </c>
      <c r="B102" s="47" t="s">
        <v>1590</v>
      </c>
    </row>
    <row r="103" spans="1:2">
      <c r="A103" s="48" t="s">
        <v>52</v>
      </c>
      <c r="B103" s="47" t="s">
        <v>1590</v>
      </c>
    </row>
    <row r="104" spans="1:2">
      <c r="A104" s="47" t="s">
        <v>52</v>
      </c>
      <c r="B104" s="47" t="s">
        <v>1590</v>
      </c>
    </row>
    <row r="105" spans="1:2">
      <c r="A105" s="48" t="s">
        <v>52</v>
      </c>
      <c r="B105" s="47" t="s">
        <v>1590</v>
      </c>
    </row>
    <row r="106" spans="1:2">
      <c r="A106" s="47" t="s">
        <v>15</v>
      </c>
      <c r="B106" s="47" t="s">
        <v>1590</v>
      </c>
    </row>
    <row r="107" spans="1:2">
      <c r="A107" s="48" t="s">
        <v>15</v>
      </c>
      <c r="B107" s="47" t="s">
        <v>1590</v>
      </c>
    </row>
    <row r="108" spans="1:2">
      <c r="A108" s="47" t="s">
        <v>15</v>
      </c>
      <c r="B108" s="47" t="s">
        <v>1590</v>
      </c>
    </row>
    <row r="109" spans="1:2">
      <c r="A109" s="48" t="s">
        <v>52</v>
      </c>
      <c r="B109" s="47" t="s">
        <v>1590</v>
      </c>
    </row>
    <row r="110" spans="1:2">
      <c r="A110" s="47" t="s">
        <v>52</v>
      </c>
      <c r="B110" s="47" t="s">
        <v>1590</v>
      </c>
    </row>
    <row r="111" spans="1:2">
      <c r="A111" s="48" t="s">
        <v>52</v>
      </c>
      <c r="B111" s="47" t="s">
        <v>1590</v>
      </c>
    </row>
    <row r="112" spans="1:2">
      <c r="A112" s="47" t="s">
        <v>52</v>
      </c>
      <c r="B112" s="47" t="s">
        <v>1590</v>
      </c>
    </row>
    <row r="113" spans="1:2">
      <c r="A113" s="48" t="s">
        <v>52</v>
      </c>
      <c r="B113" s="47" t="s">
        <v>1590</v>
      </c>
    </row>
    <row r="114" spans="1:2">
      <c r="A114" s="47" t="s">
        <v>52</v>
      </c>
      <c r="B114" s="47" t="s">
        <v>1590</v>
      </c>
    </row>
    <row r="115" spans="1:2">
      <c r="A115" s="48" t="s">
        <v>52</v>
      </c>
      <c r="B115" s="47" t="s">
        <v>1590</v>
      </c>
    </row>
    <row r="116" spans="1:2">
      <c r="A116" s="47" t="s">
        <v>52</v>
      </c>
      <c r="B116" s="47" t="s">
        <v>1590</v>
      </c>
    </row>
    <row r="117" spans="1:2">
      <c r="A117" s="48" t="s">
        <v>52</v>
      </c>
      <c r="B117" s="47" t="s">
        <v>1590</v>
      </c>
    </row>
    <row r="118" spans="1:2">
      <c r="A118" s="47" t="s">
        <v>52</v>
      </c>
      <c r="B118" s="47" t="s">
        <v>1590</v>
      </c>
    </row>
    <row r="119" spans="1:2">
      <c r="A119" s="48" t="s">
        <v>52</v>
      </c>
      <c r="B119" s="47" t="s">
        <v>1590</v>
      </c>
    </row>
    <row r="120" spans="1:2">
      <c r="A120" s="47" t="s">
        <v>52</v>
      </c>
      <c r="B120" s="47" t="s">
        <v>1590</v>
      </c>
    </row>
    <row r="121" spans="1:2">
      <c r="A121" s="48" t="s">
        <v>52</v>
      </c>
      <c r="B121" s="47" t="s">
        <v>1590</v>
      </c>
    </row>
    <row r="122" spans="1:2">
      <c r="A122" s="47" t="s">
        <v>15</v>
      </c>
      <c r="B122" s="47" t="s">
        <v>1590</v>
      </c>
    </row>
    <row r="123" spans="1:2">
      <c r="A123" s="48" t="s">
        <v>271</v>
      </c>
      <c r="B123" s="47" t="s">
        <v>1590</v>
      </c>
    </row>
    <row r="124" spans="1:2">
      <c r="A124" s="47" t="s">
        <v>52</v>
      </c>
      <c r="B124" s="47" t="s">
        <v>1590</v>
      </c>
    </row>
    <row r="125" spans="1:2">
      <c r="A125" s="48" t="s">
        <v>52</v>
      </c>
      <c r="B125" s="47" t="s">
        <v>1590</v>
      </c>
    </row>
    <row r="126" spans="1:2">
      <c r="A126" s="47" t="s">
        <v>52</v>
      </c>
      <c r="B126" s="47" t="s">
        <v>1590</v>
      </c>
    </row>
    <row r="127" spans="1:2">
      <c r="A127" s="48" t="s">
        <v>52</v>
      </c>
      <c r="B127" s="47" t="s">
        <v>1590</v>
      </c>
    </row>
    <row r="128" spans="1:2">
      <c r="A128" s="47" t="s">
        <v>52</v>
      </c>
      <c r="B128" s="47" t="s">
        <v>1590</v>
      </c>
    </row>
    <row r="129" spans="1:2">
      <c r="A129" s="48" t="s">
        <v>52</v>
      </c>
      <c r="B129" s="47" t="s">
        <v>1590</v>
      </c>
    </row>
    <row r="130" spans="1:2">
      <c r="A130" s="47" t="s">
        <v>15</v>
      </c>
      <c r="B130" s="47" t="s">
        <v>1592</v>
      </c>
    </row>
    <row r="131" spans="1:2">
      <c r="A131" s="48" t="s">
        <v>52</v>
      </c>
      <c r="B131" s="47" t="s">
        <v>1592</v>
      </c>
    </row>
    <row r="132" spans="1:2">
      <c r="A132" s="47" t="s">
        <v>52</v>
      </c>
      <c r="B132" s="47" t="s">
        <v>1592</v>
      </c>
    </row>
    <row r="133" spans="1:2">
      <c r="A133" s="48" t="s">
        <v>52</v>
      </c>
      <c r="B133" s="47" t="s">
        <v>1592</v>
      </c>
    </row>
    <row r="134" spans="1:2">
      <c r="A134" s="47" t="s">
        <v>52</v>
      </c>
      <c r="B134" s="47" t="s">
        <v>1592</v>
      </c>
    </row>
    <row r="135" spans="1:2">
      <c r="A135" s="48" t="s">
        <v>52</v>
      </c>
      <c r="B135" s="47" t="s">
        <v>1592</v>
      </c>
    </row>
    <row r="136" spans="1:2">
      <c r="A136" s="47" t="s">
        <v>52</v>
      </c>
      <c r="B136" s="47" t="s">
        <v>1592</v>
      </c>
    </row>
    <row r="137" spans="1:2">
      <c r="A137" s="48" t="s">
        <v>52</v>
      </c>
      <c r="B137" s="47" t="s">
        <v>1592</v>
      </c>
    </row>
    <row r="138" spans="1:2">
      <c r="A138" s="47" t="s">
        <v>52</v>
      </c>
      <c r="B138" s="47" t="s">
        <v>1592</v>
      </c>
    </row>
    <row r="139" spans="1:2">
      <c r="A139" s="48" t="s">
        <v>52</v>
      </c>
      <c r="B139" s="47" t="s">
        <v>1592</v>
      </c>
    </row>
    <row r="140" spans="1:2">
      <c r="A140" s="47" t="s">
        <v>52</v>
      </c>
      <c r="B140" s="47" t="s">
        <v>1592</v>
      </c>
    </row>
    <row r="141" spans="1:2">
      <c r="A141" s="48" t="s">
        <v>52</v>
      </c>
      <c r="B141" s="47" t="s">
        <v>1592</v>
      </c>
    </row>
    <row r="142" spans="1:2">
      <c r="A142" s="47" t="s">
        <v>15</v>
      </c>
      <c r="B142" s="47" t="s">
        <v>1592</v>
      </c>
    </row>
    <row r="143" spans="1:2">
      <c r="A143" s="48" t="s">
        <v>52</v>
      </c>
      <c r="B143" s="47" t="s">
        <v>1592</v>
      </c>
    </row>
    <row r="144" spans="1:2">
      <c r="A144" s="47" t="s">
        <v>52</v>
      </c>
      <c r="B144" s="47" t="s">
        <v>1592</v>
      </c>
    </row>
    <row r="145" spans="1:2">
      <c r="A145" s="48" t="s">
        <v>52</v>
      </c>
      <c r="B145" s="47" t="s">
        <v>1592</v>
      </c>
    </row>
    <row r="146" spans="1:2">
      <c r="A146" s="47" t="s">
        <v>52</v>
      </c>
      <c r="B146" s="47" t="s">
        <v>1592</v>
      </c>
    </row>
    <row r="147" spans="1:2">
      <c r="A147" s="48" t="s">
        <v>52</v>
      </c>
      <c r="B147" s="47" t="s">
        <v>1592</v>
      </c>
    </row>
    <row r="148" spans="1:2">
      <c r="A148" s="47" t="s">
        <v>52</v>
      </c>
      <c r="B148" s="47" t="s">
        <v>1592</v>
      </c>
    </row>
    <row r="149" spans="1:2">
      <c r="A149" s="48" t="s">
        <v>52</v>
      </c>
      <c r="B149" s="47" t="s">
        <v>1592</v>
      </c>
    </row>
    <row r="150" spans="1:2">
      <c r="A150" s="47" t="s">
        <v>271</v>
      </c>
      <c r="B150" s="47" t="s">
        <v>1592</v>
      </c>
    </row>
    <row r="151" spans="1:2">
      <c r="A151" s="48" t="s">
        <v>52</v>
      </c>
      <c r="B151" s="47" t="s">
        <v>1592</v>
      </c>
    </row>
    <row r="152" spans="1:2">
      <c r="A152" s="47" t="s">
        <v>70</v>
      </c>
      <c r="B152" s="47" t="s">
        <v>1592</v>
      </c>
    </row>
    <row r="153" spans="1:2">
      <c r="A153" s="48" t="s">
        <v>15</v>
      </c>
      <c r="B153" s="47" t="s">
        <v>1592</v>
      </c>
    </row>
    <row r="154" spans="1:2">
      <c r="A154" s="47" t="s">
        <v>15</v>
      </c>
      <c r="B154" s="47" t="s">
        <v>1592</v>
      </c>
    </row>
    <row r="155" spans="1:2">
      <c r="A155" s="48" t="s">
        <v>52</v>
      </c>
      <c r="B155" s="47" t="s">
        <v>1592</v>
      </c>
    </row>
    <row r="156" spans="1:2">
      <c r="A156" s="47" t="s">
        <v>52</v>
      </c>
      <c r="B156" s="47" t="s">
        <v>1592</v>
      </c>
    </row>
    <row r="157" spans="1:2">
      <c r="A157" s="48" t="s">
        <v>52</v>
      </c>
      <c r="B157" s="47" t="s">
        <v>1592</v>
      </c>
    </row>
    <row r="158" spans="1:2">
      <c r="A158" s="47" t="s">
        <v>52</v>
      </c>
      <c r="B158" s="47" t="s">
        <v>1592</v>
      </c>
    </row>
    <row r="159" spans="1:2">
      <c r="A159" s="48" t="s">
        <v>52</v>
      </c>
      <c r="B159" s="47" t="s">
        <v>1592</v>
      </c>
    </row>
    <row r="160" spans="1:2">
      <c r="A160" s="47" t="s">
        <v>52</v>
      </c>
      <c r="B160" s="47" t="s">
        <v>1592</v>
      </c>
    </row>
    <row r="161" spans="1:2">
      <c r="A161" s="48" t="s">
        <v>52</v>
      </c>
      <c r="B161" s="47" t="s">
        <v>1592</v>
      </c>
    </row>
    <row r="162" spans="1:2">
      <c r="A162" s="47" t="s">
        <v>52</v>
      </c>
      <c r="B162" s="47" t="s">
        <v>1592</v>
      </c>
    </row>
    <row r="163" spans="1:2">
      <c r="A163" s="48" t="s">
        <v>52</v>
      </c>
      <c r="B163" s="47" t="s">
        <v>1592</v>
      </c>
    </row>
    <row r="164" spans="1:2">
      <c r="A164" s="47" t="s">
        <v>52</v>
      </c>
      <c r="B164" s="47" t="s">
        <v>1592</v>
      </c>
    </row>
    <row r="165" spans="1:2">
      <c r="A165" s="48" t="s">
        <v>52</v>
      </c>
      <c r="B165" s="47" t="s">
        <v>1592</v>
      </c>
    </row>
    <row r="166" spans="1:2">
      <c r="A166" s="47" t="s">
        <v>52</v>
      </c>
      <c r="B166" s="47" t="s">
        <v>1592</v>
      </c>
    </row>
    <row r="167" spans="1:2">
      <c r="A167" s="48" t="s">
        <v>15</v>
      </c>
      <c r="B167" s="47" t="s">
        <v>1592</v>
      </c>
    </row>
    <row r="168" spans="1:2">
      <c r="A168" s="47" t="s">
        <v>15</v>
      </c>
      <c r="B168" s="47" t="s">
        <v>1592</v>
      </c>
    </row>
    <row r="169" spans="1:2">
      <c r="A169" s="48" t="s">
        <v>271</v>
      </c>
      <c r="B169" s="47" t="s">
        <v>1592</v>
      </c>
    </row>
    <row r="170" spans="1:2">
      <c r="A170" s="47" t="s">
        <v>271</v>
      </c>
      <c r="B170" s="47" t="s">
        <v>1592</v>
      </c>
    </row>
    <row r="171" spans="1:2">
      <c r="A171" s="48" t="s">
        <v>70</v>
      </c>
      <c r="B171" s="47" t="s">
        <v>1592</v>
      </c>
    </row>
    <row r="172" spans="1:2">
      <c r="A172" s="47" t="s">
        <v>15</v>
      </c>
      <c r="B172" s="47" t="s">
        <v>1592</v>
      </c>
    </row>
    <row r="173" spans="1:2">
      <c r="A173" s="48" t="s">
        <v>15</v>
      </c>
      <c r="B173" s="47" t="s">
        <v>1592</v>
      </c>
    </row>
    <row r="174" spans="1:2">
      <c r="A174" s="47" t="s">
        <v>52</v>
      </c>
      <c r="B174" s="47" t="s">
        <v>1592</v>
      </c>
    </row>
    <row r="175" spans="1:2">
      <c r="A175" s="48" t="s">
        <v>52</v>
      </c>
      <c r="B175" s="47" t="s">
        <v>1592</v>
      </c>
    </row>
    <row r="176" spans="1:2">
      <c r="A176" s="47" t="s">
        <v>52</v>
      </c>
      <c r="B176" s="47" t="s">
        <v>1592</v>
      </c>
    </row>
    <row r="177" spans="1:2">
      <c r="A177" s="48" t="s">
        <v>52</v>
      </c>
      <c r="B177" s="47" t="s">
        <v>1592</v>
      </c>
    </row>
    <row r="178" spans="1:2">
      <c r="A178" s="47" t="s">
        <v>52</v>
      </c>
      <c r="B178" s="47" t="s">
        <v>1592</v>
      </c>
    </row>
    <row r="179" spans="1:2">
      <c r="A179" s="48" t="s">
        <v>52</v>
      </c>
      <c r="B179" s="47" t="s">
        <v>1592</v>
      </c>
    </row>
    <row r="180" spans="1:2">
      <c r="A180" s="47" t="s">
        <v>52</v>
      </c>
      <c r="B180" s="47" t="s">
        <v>1592</v>
      </c>
    </row>
    <row r="181" spans="1:2">
      <c r="A181" s="48" t="s">
        <v>52</v>
      </c>
      <c r="B181" s="47" t="s">
        <v>1592</v>
      </c>
    </row>
    <row r="182" spans="1:2">
      <c r="A182" s="47" t="s">
        <v>15</v>
      </c>
      <c r="B182" s="47" t="s">
        <v>1592</v>
      </c>
    </row>
    <row r="183" spans="1:2">
      <c r="A183" s="48" t="s">
        <v>15</v>
      </c>
      <c r="B183" s="47" t="s">
        <v>1592</v>
      </c>
    </row>
    <row r="184" spans="1:2">
      <c r="A184" s="47" t="s">
        <v>15</v>
      </c>
      <c r="B184" s="47" t="s">
        <v>1592</v>
      </c>
    </row>
    <row r="185" spans="1:2">
      <c r="A185" s="48" t="s">
        <v>76</v>
      </c>
      <c r="B185" s="47" t="s">
        <v>1592</v>
      </c>
    </row>
    <row r="186" spans="1:2">
      <c r="A186" s="47" t="s">
        <v>15</v>
      </c>
      <c r="B186" s="47" t="s">
        <v>1592</v>
      </c>
    </row>
    <row r="187" spans="1:2">
      <c r="A187" s="48" t="s">
        <v>192</v>
      </c>
      <c r="B187" s="47" t="s">
        <v>1592</v>
      </c>
    </row>
    <row r="188" spans="1:2">
      <c r="A188" s="47" t="s">
        <v>192</v>
      </c>
      <c r="B188" s="47" t="s">
        <v>1592</v>
      </c>
    </row>
    <row r="189" spans="1:2">
      <c r="A189" s="48" t="s">
        <v>76</v>
      </c>
      <c r="B189" s="47" t="s">
        <v>1592</v>
      </c>
    </row>
    <row r="190" spans="1:2">
      <c r="A190" s="47" t="s">
        <v>76</v>
      </c>
      <c r="B190" s="47" t="s">
        <v>1592</v>
      </c>
    </row>
    <row r="191" spans="1:2">
      <c r="A191" s="48" t="s">
        <v>76</v>
      </c>
      <c r="B191" s="47" t="s">
        <v>1592</v>
      </c>
    </row>
    <row r="192" spans="1:2">
      <c r="A192" s="47" t="s">
        <v>76</v>
      </c>
      <c r="B192" s="47" t="s">
        <v>1592</v>
      </c>
    </row>
    <row r="193" spans="1:2">
      <c r="A193" s="48" t="s">
        <v>192</v>
      </c>
      <c r="B193" s="47" t="s">
        <v>1592</v>
      </c>
    </row>
    <row r="194" spans="1:2">
      <c r="A194" s="47" t="s">
        <v>15</v>
      </c>
      <c r="B194" s="47" t="s">
        <v>1592</v>
      </c>
    </row>
    <row r="195" spans="1:2">
      <c r="A195" s="48" t="s">
        <v>52</v>
      </c>
      <c r="B195" s="48" t="s">
        <v>1593</v>
      </c>
    </row>
    <row r="196" spans="1:2">
      <c r="A196" s="47" t="s">
        <v>52</v>
      </c>
      <c r="B196" s="48" t="s">
        <v>1593</v>
      </c>
    </row>
    <row r="197" spans="1:2">
      <c r="A197" s="48" t="s">
        <v>52</v>
      </c>
      <c r="B197" s="48" t="s">
        <v>1593</v>
      </c>
    </row>
    <row r="198" spans="1:2">
      <c r="A198" s="47" t="s">
        <v>52</v>
      </c>
      <c r="B198" s="48" t="s">
        <v>1593</v>
      </c>
    </row>
    <row r="199" spans="1:2">
      <c r="A199" s="48" t="s">
        <v>271</v>
      </c>
      <c r="B199" s="48" t="s">
        <v>1593</v>
      </c>
    </row>
    <row r="200" spans="1:2">
      <c r="A200" s="47" t="s">
        <v>15</v>
      </c>
      <c r="B200" s="48" t="s">
        <v>1593</v>
      </c>
    </row>
    <row r="201" spans="1:2">
      <c r="A201" s="48" t="s">
        <v>15</v>
      </c>
      <c r="B201" s="48" t="s">
        <v>1593</v>
      </c>
    </row>
    <row r="202" spans="1:2">
      <c r="A202" s="47" t="s">
        <v>52</v>
      </c>
      <c r="B202" s="48" t="s">
        <v>1593</v>
      </c>
    </row>
    <row r="203" spans="1:2">
      <c r="A203" s="48" t="s">
        <v>52</v>
      </c>
      <c r="B203" s="48" t="s">
        <v>1593</v>
      </c>
    </row>
    <row r="204" spans="1:2">
      <c r="A204" s="47" t="s">
        <v>52</v>
      </c>
      <c r="B204" s="48" t="s">
        <v>1593</v>
      </c>
    </row>
    <row r="205" spans="1:2">
      <c r="A205" s="48" t="s">
        <v>52</v>
      </c>
      <c r="B205" s="48" t="s">
        <v>1593</v>
      </c>
    </row>
    <row r="206" spans="1:2">
      <c r="A206" s="47" t="s">
        <v>52</v>
      </c>
      <c r="B206" s="48" t="s">
        <v>1593</v>
      </c>
    </row>
    <row r="207" spans="1:2">
      <c r="A207" s="48" t="s">
        <v>52</v>
      </c>
      <c r="B207" s="48" t="s">
        <v>1593</v>
      </c>
    </row>
    <row r="208" spans="1:2">
      <c r="A208" s="47" t="s">
        <v>52</v>
      </c>
      <c r="B208" s="48" t="s">
        <v>1593</v>
      </c>
    </row>
    <row r="209" spans="1:2">
      <c r="A209" s="48" t="s">
        <v>52</v>
      </c>
      <c r="B209" s="48" t="s">
        <v>1593</v>
      </c>
    </row>
    <row r="210" spans="1:2">
      <c r="A210" s="47" t="s">
        <v>15</v>
      </c>
      <c r="B210" s="48" t="s">
        <v>1593</v>
      </c>
    </row>
    <row r="211" spans="1:2">
      <c r="A211" s="48" t="s">
        <v>52</v>
      </c>
      <c r="B211" s="48" t="s">
        <v>1593</v>
      </c>
    </row>
    <row r="212" spans="1:2">
      <c r="A212" s="47" t="s">
        <v>52</v>
      </c>
      <c r="B212" s="48" t="s">
        <v>1593</v>
      </c>
    </row>
    <row r="213" spans="1:2">
      <c r="A213" s="48" t="s">
        <v>52</v>
      </c>
      <c r="B213" s="48" t="s">
        <v>1593</v>
      </c>
    </row>
    <row r="214" spans="1:2">
      <c r="A214" s="47" t="s">
        <v>52</v>
      </c>
      <c r="B214" s="48" t="s">
        <v>1593</v>
      </c>
    </row>
    <row r="215" spans="1:2">
      <c r="A215" s="48" t="s">
        <v>52</v>
      </c>
      <c r="B215" s="48" t="s">
        <v>1593</v>
      </c>
    </row>
    <row r="216" spans="1:2">
      <c r="A216" s="47" t="s">
        <v>52</v>
      </c>
      <c r="B216" s="48" t="s">
        <v>1593</v>
      </c>
    </row>
    <row r="217" spans="1:2">
      <c r="A217" s="48" t="s">
        <v>52</v>
      </c>
      <c r="B217" s="48" t="s">
        <v>1593</v>
      </c>
    </row>
    <row r="218" spans="1:2">
      <c r="A218" s="47" t="s">
        <v>52</v>
      </c>
      <c r="B218" s="48" t="s">
        <v>1593</v>
      </c>
    </row>
    <row r="219" spans="1:2">
      <c r="A219" s="48" t="s">
        <v>52</v>
      </c>
      <c r="B219" s="48" t="s">
        <v>1593</v>
      </c>
    </row>
    <row r="220" spans="1:2">
      <c r="A220" s="47" t="s">
        <v>52</v>
      </c>
      <c r="B220" s="48" t="s">
        <v>1593</v>
      </c>
    </row>
    <row r="221" spans="1:2">
      <c r="A221" s="48" t="s">
        <v>52</v>
      </c>
      <c r="B221" s="48" t="s">
        <v>1593</v>
      </c>
    </row>
    <row r="222" spans="1:2">
      <c r="A222" s="47" t="s">
        <v>52</v>
      </c>
      <c r="B222" s="48" t="s">
        <v>1593</v>
      </c>
    </row>
    <row r="223" spans="1:2">
      <c r="A223" s="48" t="s">
        <v>52</v>
      </c>
      <c r="B223" s="48" t="s">
        <v>1593</v>
      </c>
    </row>
    <row r="224" spans="1:2">
      <c r="A224" s="47" t="s">
        <v>52</v>
      </c>
      <c r="B224" s="48" t="s">
        <v>1593</v>
      </c>
    </row>
    <row r="225" spans="1:2">
      <c r="A225" s="48" t="s">
        <v>52</v>
      </c>
      <c r="B225" s="48" t="s">
        <v>1593</v>
      </c>
    </row>
    <row r="226" spans="1:2">
      <c r="A226" s="47" t="s">
        <v>271</v>
      </c>
      <c r="B226" s="48" t="s">
        <v>1593</v>
      </c>
    </row>
    <row r="227" spans="1:2">
      <c r="A227" s="48" t="s">
        <v>192</v>
      </c>
      <c r="B227" s="48" t="s">
        <v>1593</v>
      </c>
    </row>
    <row r="228" spans="1:2">
      <c r="A228" s="47" t="s">
        <v>52</v>
      </c>
      <c r="B228" s="48" t="s">
        <v>1593</v>
      </c>
    </row>
    <row r="229" spans="1:2">
      <c r="A229" s="48" t="s">
        <v>52</v>
      </c>
      <c r="B229" s="48" t="s">
        <v>1593</v>
      </c>
    </row>
    <row r="230" spans="1:2">
      <c r="A230" s="47" t="s">
        <v>52</v>
      </c>
      <c r="B230" s="48" t="s">
        <v>1593</v>
      </c>
    </row>
    <row r="231" spans="1:2">
      <c r="A231" s="48" t="s">
        <v>15</v>
      </c>
      <c r="B231" s="48" t="s">
        <v>1593</v>
      </c>
    </row>
    <row r="232" spans="1:2">
      <c r="A232" s="47" t="s">
        <v>192</v>
      </c>
      <c r="B232" s="48" t="s">
        <v>1593</v>
      </c>
    </row>
    <row r="233" spans="1:2">
      <c r="A233" s="48" t="s">
        <v>52</v>
      </c>
      <c r="B233" s="48" t="s">
        <v>1593</v>
      </c>
    </row>
    <row r="234" spans="1:2">
      <c r="A234" s="47" t="s">
        <v>52</v>
      </c>
      <c r="B234" s="48" t="s">
        <v>1593</v>
      </c>
    </row>
    <row r="235" spans="1:2">
      <c r="A235" s="48" t="s">
        <v>52</v>
      </c>
      <c r="B235" s="48" t="s">
        <v>1593</v>
      </c>
    </row>
    <row r="236" spans="1:2">
      <c r="A236" s="47" t="s">
        <v>52</v>
      </c>
      <c r="B236" s="48" t="s">
        <v>1593</v>
      </c>
    </row>
    <row r="237" spans="1:2">
      <c r="A237" s="48" t="s">
        <v>52</v>
      </c>
      <c r="B237" s="48" t="s">
        <v>1593</v>
      </c>
    </row>
    <row r="238" spans="1:2">
      <c r="A238" s="47" t="s">
        <v>52</v>
      </c>
      <c r="B238" s="48" t="s">
        <v>1593</v>
      </c>
    </row>
    <row r="239" spans="1:2">
      <c r="A239" s="48" t="s">
        <v>52</v>
      </c>
      <c r="B239" s="48" t="s">
        <v>1593</v>
      </c>
    </row>
    <row r="240" spans="1:2">
      <c r="A240" s="47" t="s">
        <v>15</v>
      </c>
      <c r="B240" s="47" t="s">
        <v>1594</v>
      </c>
    </row>
    <row r="241" spans="1:2">
      <c r="A241" s="48" t="s">
        <v>271</v>
      </c>
      <c r="B241" s="47" t="s">
        <v>1594</v>
      </c>
    </row>
    <row r="242" spans="1:2">
      <c r="A242" s="47" t="s">
        <v>15</v>
      </c>
      <c r="B242" s="47" t="s">
        <v>1594</v>
      </c>
    </row>
    <row r="243" spans="1:2">
      <c r="A243" s="48" t="s">
        <v>15</v>
      </c>
      <c r="B243" s="47" t="s">
        <v>1594</v>
      </c>
    </row>
    <row r="244" spans="1:2">
      <c r="A244" s="47" t="s">
        <v>15</v>
      </c>
      <c r="B244" s="47" t="s">
        <v>1594</v>
      </c>
    </row>
    <row r="245" spans="1:2">
      <c r="A245" s="48" t="s">
        <v>15</v>
      </c>
      <c r="B245" s="47" t="s">
        <v>1594</v>
      </c>
    </row>
    <row r="246" spans="1:2">
      <c r="A246" s="47" t="s">
        <v>15</v>
      </c>
      <c r="B246" s="47" t="s">
        <v>1594</v>
      </c>
    </row>
    <row r="247" spans="1:2">
      <c r="A247" s="48" t="s">
        <v>15</v>
      </c>
      <c r="B247" s="47" t="s">
        <v>1594</v>
      </c>
    </row>
    <row r="248" spans="1:2">
      <c r="A248" s="47" t="s">
        <v>15</v>
      </c>
      <c r="B248" s="47" t="s">
        <v>1594</v>
      </c>
    </row>
    <row r="249" spans="1:2">
      <c r="A249" s="48" t="s">
        <v>15</v>
      </c>
      <c r="B249" s="47" t="s">
        <v>1594</v>
      </c>
    </row>
    <row r="250" spans="1:2">
      <c r="A250" s="47" t="s">
        <v>15</v>
      </c>
      <c r="B250" s="47" t="s">
        <v>1594</v>
      </c>
    </row>
    <row r="251" spans="1:2">
      <c r="A251" s="48" t="s">
        <v>15</v>
      </c>
      <c r="B251" s="47" t="s">
        <v>1594</v>
      </c>
    </row>
    <row r="252" spans="1:2">
      <c r="A252" s="47" t="s">
        <v>15</v>
      </c>
      <c r="B252" s="47" t="s">
        <v>1594</v>
      </c>
    </row>
    <row r="253" spans="1:2">
      <c r="A253" s="48" t="s">
        <v>15</v>
      </c>
      <c r="B253" s="47" t="s">
        <v>1594</v>
      </c>
    </row>
    <row r="254" spans="1:2">
      <c r="A254" s="47" t="s">
        <v>15</v>
      </c>
      <c r="B254" s="47" t="s">
        <v>1594</v>
      </c>
    </row>
    <row r="255" spans="1:2">
      <c r="A255" s="48" t="s">
        <v>15</v>
      </c>
      <c r="B255" s="47" t="s">
        <v>1594</v>
      </c>
    </row>
    <row r="256" spans="1:2">
      <c r="A256" s="47" t="s">
        <v>15</v>
      </c>
      <c r="B256" s="47" t="s">
        <v>1594</v>
      </c>
    </row>
    <row r="257" spans="1:2">
      <c r="A257" s="48" t="s">
        <v>15</v>
      </c>
      <c r="B257" s="47" t="s">
        <v>1594</v>
      </c>
    </row>
    <row r="258" spans="1:2">
      <c r="A258" s="47" t="s">
        <v>15</v>
      </c>
      <c r="B258" s="47" t="s">
        <v>1594</v>
      </c>
    </row>
    <row r="259" spans="1:2">
      <c r="A259" s="48" t="s">
        <v>15</v>
      </c>
      <c r="B259" s="47" t="s">
        <v>1594</v>
      </c>
    </row>
    <row r="260" spans="1:2">
      <c r="A260" s="47" t="s">
        <v>15</v>
      </c>
      <c r="B260" s="47" t="s">
        <v>1594</v>
      </c>
    </row>
    <row r="261" spans="1:2">
      <c r="A261" s="48" t="s">
        <v>15</v>
      </c>
      <c r="B261" s="47" t="s">
        <v>1594</v>
      </c>
    </row>
    <row r="262" spans="1:2">
      <c r="A262" s="47" t="s">
        <v>15</v>
      </c>
      <c r="B262" s="47" t="s">
        <v>1594</v>
      </c>
    </row>
    <row r="263" spans="1:2">
      <c r="A263" s="48" t="s">
        <v>15</v>
      </c>
      <c r="B263" s="47" t="s">
        <v>1594</v>
      </c>
    </row>
    <row r="264" spans="1:2">
      <c r="A264" s="47" t="s">
        <v>15</v>
      </c>
      <c r="B264" s="47" t="s">
        <v>1594</v>
      </c>
    </row>
    <row r="265" spans="1:2">
      <c r="A265" s="48" t="s">
        <v>15</v>
      </c>
      <c r="B265" s="47" t="s">
        <v>1594</v>
      </c>
    </row>
    <row r="266" spans="1:2">
      <c r="A266" s="47" t="s">
        <v>15</v>
      </c>
      <c r="B266" s="47" t="s">
        <v>1594</v>
      </c>
    </row>
    <row r="267" spans="1:2">
      <c r="A267" s="48" t="s">
        <v>15</v>
      </c>
      <c r="B267" s="47" t="s">
        <v>1594</v>
      </c>
    </row>
    <row r="268" spans="1:2">
      <c r="A268" s="47" t="s">
        <v>15</v>
      </c>
      <c r="B268" s="47" t="s">
        <v>1594</v>
      </c>
    </row>
    <row r="269" spans="1:2">
      <c r="A269" s="48" t="s">
        <v>15</v>
      </c>
      <c r="B269" s="47" t="s">
        <v>1594</v>
      </c>
    </row>
    <row r="270" spans="1:2">
      <c r="A270" s="47" t="s">
        <v>15</v>
      </c>
      <c r="B270" s="47" t="s">
        <v>1594</v>
      </c>
    </row>
    <row r="271" spans="1:2">
      <c r="A271" s="48" t="s">
        <v>15</v>
      </c>
      <c r="B271" s="47" t="s">
        <v>1594</v>
      </c>
    </row>
    <row r="272" spans="1:2">
      <c r="A272" s="47" t="s">
        <v>15</v>
      </c>
      <c r="B272" s="47" t="s">
        <v>1594</v>
      </c>
    </row>
    <row r="273" spans="1:2">
      <c r="A273" s="48" t="s">
        <v>15</v>
      </c>
      <c r="B273" s="47" t="s">
        <v>1594</v>
      </c>
    </row>
    <row r="274" spans="1:2">
      <c r="A274" s="47" t="s">
        <v>15</v>
      </c>
      <c r="B274" s="47" t="s">
        <v>1594</v>
      </c>
    </row>
    <row r="275" spans="1:2">
      <c r="A275" s="48" t="s">
        <v>15</v>
      </c>
      <c r="B275" s="47" t="s">
        <v>1594</v>
      </c>
    </row>
    <row r="276" spans="1:2">
      <c r="A276" s="47" t="s">
        <v>15</v>
      </c>
      <c r="B276" s="47" t="s">
        <v>1594</v>
      </c>
    </row>
    <row r="277" spans="1:2">
      <c r="A277" s="48" t="s">
        <v>15</v>
      </c>
      <c r="B277" s="47" t="s">
        <v>1594</v>
      </c>
    </row>
    <row r="278" spans="1:2">
      <c r="A278" s="47" t="s">
        <v>15</v>
      </c>
      <c r="B278" s="47" t="s">
        <v>1594</v>
      </c>
    </row>
    <row r="279" spans="1:2">
      <c r="A279" s="48" t="s">
        <v>15</v>
      </c>
      <c r="B279" s="47" t="s">
        <v>1594</v>
      </c>
    </row>
    <row r="280" spans="1:2">
      <c r="A280" s="47" t="s">
        <v>15</v>
      </c>
      <c r="B280" s="47" t="s">
        <v>1594</v>
      </c>
    </row>
    <row r="281" spans="1:2">
      <c r="A281" s="48" t="s">
        <v>15</v>
      </c>
      <c r="B281" s="47" t="s">
        <v>1594</v>
      </c>
    </row>
    <row r="282" spans="1:2">
      <c r="A282" s="47" t="s">
        <v>15</v>
      </c>
      <c r="B282" s="47" t="s">
        <v>1594</v>
      </c>
    </row>
    <row r="283" spans="1:2">
      <c r="A283" s="48" t="s">
        <v>15</v>
      </c>
      <c r="B283" s="47" t="s">
        <v>1594</v>
      </c>
    </row>
    <row r="284" spans="1:2">
      <c r="A284" s="47" t="s">
        <v>15</v>
      </c>
      <c r="B284" s="47" t="s">
        <v>1594</v>
      </c>
    </row>
    <row r="285" spans="1:2">
      <c r="A285" s="48" t="s">
        <v>15</v>
      </c>
      <c r="B285" s="47" t="s">
        <v>1594</v>
      </c>
    </row>
    <row r="286" spans="1:2">
      <c r="A286" s="47" t="s">
        <v>15</v>
      </c>
      <c r="B286" s="47" t="s">
        <v>1594</v>
      </c>
    </row>
    <row r="287" spans="1:2">
      <c r="A287" s="48" t="s">
        <v>15</v>
      </c>
      <c r="B287" s="47" t="s">
        <v>1594</v>
      </c>
    </row>
    <row r="288" spans="1:2">
      <c r="A288" s="47" t="s">
        <v>15</v>
      </c>
      <c r="B288" s="47" t="s">
        <v>1594</v>
      </c>
    </row>
    <row r="289" spans="1:2">
      <c r="A289" s="48" t="s">
        <v>15</v>
      </c>
      <c r="B289" s="47" t="s">
        <v>1594</v>
      </c>
    </row>
    <row r="290" spans="1:2">
      <c r="A290" s="47" t="s">
        <v>15</v>
      </c>
      <c r="B290" s="47" t="s">
        <v>1594</v>
      </c>
    </row>
    <row r="291" spans="1:2">
      <c r="A291" s="48" t="s">
        <v>15</v>
      </c>
      <c r="B291" s="47" t="s">
        <v>1594</v>
      </c>
    </row>
    <row r="292" spans="1:2">
      <c r="A292" s="47" t="s">
        <v>271</v>
      </c>
      <c r="B292" s="47" t="s">
        <v>1594</v>
      </c>
    </row>
    <row r="293" spans="1:2">
      <c r="A293" s="48" t="s">
        <v>15</v>
      </c>
      <c r="B293" s="47" t="s">
        <v>1594</v>
      </c>
    </row>
    <row r="294" spans="1:2">
      <c r="A294" s="47" t="s">
        <v>15</v>
      </c>
      <c r="B294" s="47" t="s">
        <v>1594</v>
      </c>
    </row>
    <row r="295" spans="1:2">
      <c r="A295" s="48" t="s">
        <v>15</v>
      </c>
      <c r="B295" s="47" t="s">
        <v>1594</v>
      </c>
    </row>
    <row r="296" spans="1:2">
      <c r="A296" s="47" t="s">
        <v>15</v>
      </c>
      <c r="B296" s="47" t="s">
        <v>1594</v>
      </c>
    </row>
    <row r="297" spans="1:2">
      <c r="A297" s="48" t="s">
        <v>15</v>
      </c>
      <c r="B297" s="47" t="s">
        <v>1594</v>
      </c>
    </row>
    <row r="298" spans="1:2">
      <c r="A298" s="47" t="s">
        <v>15</v>
      </c>
      <c r="B298" s="47" t="s">
        <v>1594</v>
      </c>
    </row>
    <row r="299" spans="1:2">
      <c r="A299" s="48" t="s">
        <v>15</v>
      </c>
      <c r="B299" s="47" t="s">
        <v>1595</v>
      </c>
    </row>
    <row r="300" spans="1:2">
      <c r="A300" s="47" t="s">
        <v>15</v>
      </c>
      <c r="B300" s="47" t="s">
        <v>1595</v>
      </c>
    </row>
    <row r="301" spans="1:2">
      <c r="A301" s="48" t="s">
        <v>15</v>
      </c>
      <c r="B301" s="47" t="s">
        <v>1595</v>
      </c>
    </row>
    <row r="302" spans="1:2">
      <c r="A302" s="47" t="s">
        <v>15</v>
      </c>
      <c r="B302" s="47" t="s">
        <v>1595</v>
      </c>
    </row>
    <row r="303" spans="1:2">
      <c r="A303" s="48" t="s">
        <v>15</v>
      </c>
      <c r="B303" s="47" t="s">
        <v>1595</v>
      </c>
    </row>
    <row r="304" spans="1:2">
      <c r="A304" s="47" t="s">
        <v>15</v>
      </c>
      <c r="B304" s="47" t="s">
        <v>1595</v>
      </c>
    </row>
    <row r="305" spans="1:2">
      <c r="A305" s="48" t="s">
        <v>15</v>
      </c>
      <c r="B305" s="47" t="s">
        <v>1595</v>
      </c>
    </row>
    <row r="306" spans="1:2">
      <c r="A306" s="47" t="s">
        <v>15</v>
      </c>
      <c r="B306" s="47" t="s">
        <v>1595</v>
      </c>
    </row>
    <row r="307" spans="1:2">
      <c r="A307" s="48" t="s">
        <v>15</v>
      </c>
      <c r="B307" s="47" t="s">
        <v>1595</v>
      </c>
    </row>
    <row r="308" spans="1:2">
      <c r="A308" s="47" t="s">
        <v>271</v>
      </c>
      <c r="B308" s="47" t="s">
        <v>1595</v>
      </c>
    </row>
    <row r="309" spans="1:2">
      <c r="A309" s="48" t="s">
        <v>15</v>
      </c>
      <c r="B309" s="47" t="s">
        <v>1595</v>
      </c>
    </row>
    <row r="310" spans="1:2">
      <c r="A310" s="47" t="s">
        <v>15</v>
      </c>
      <c r="B310" s="47" t="s">
        <v>1595</v>
      </c>
    </row>
    <row r="311" spans="1:2">
      <c r="A311" s="48" t="s">
        <v>1109</v>
      </c>
      <c r="B311" s="47" t="s">
        <v>1595</v>
      </c>
    </row>
    <row r="312" spans="1:2">
      <c r="A312" s="47" t="s">
        <v>15</v>
      </c>
      <c r="B312" s="47" t="s">
        <v>1595</v>
      </c>
    </row>
    <row r="313" spans="1:2">
      <c r="A313" s="48" t="s">
        <v>15</v>
      </c>
      <c r="B313" s="47" t="s">
        <v>1595</v>
      </c>
    </row>
    <row r="314" spans="1:2">
      <c r="A314" s="47" t="s">
        <v>271</v>
      </c>
      <c r="B314" s="47" t="s">
        <v>1595</v>
      </c>
    </row>
    <row r="315" spans="1:2">
      <c r="A315" s="48" t="s">
        <v>15</v>
      </c>
      <c r="B315" s="47" t="s">
        <v>1595</v>
      </c>
    </row>
    <row r="316" spans="1:2">
      <c r="A316" s="47" t="s">
        <v>15</v>
      </c>
      <c r="B316" s="47" t="s">
        <v>1595</v>
      </c>
    </row>
    <row r="317" spans="1:2">
      <c r="A317" s="48" t="s">
        <v>70</v>
      </c>
      <c r="B317" s="47" t="s">
        <v>1595</v>
      </c>
    </row>
    <row r="318" spans="1:2">
      <c r="A318" s="47" t="s">
        <v>70</v>
      </c>
      <c r="B318" s="47" t="s">
        <v>1595</v>
      </c>
    </row>
    <row r="319" spans="1:2">
      <c r="A319" s="48" t="s">
        <v>70</v>
      </c>
      <c r="B319" s="47" t="s">
        <v>1595</v>
      </c>
    </row>
    <row r="320" spans="1:2">
      <c r="A320" s="47" t="s">
        <v>192</v>
      </c>
      <c r="B320" s="47" t="s">
        <v>1595</v>
      </c>
    </row>
    <row r="321" spans="1:2">
      <c r="A321" s="48" t="s">
        <v>192</v>
      </c>
      <c r="B321" s="47" t="s">
        <v>1595</v>
      </c>
    </row>
    <row r="322" spans="1:2">
      <c r="A322" s="47" t="s">
        <v>192</v>
      </c>
      <c r="B322" s="47" t="s">
        <v>1595</v>
      </c>
    </row>
    <row r="323" spans="1:2">
      <c r="A323" s="48" t="s">
        <v>192</v>
      </c>
      <c r="B323" s="47" t="s">
        <v>1595</v>
      </c>
    </row>
    <row r="324" spans="1:2">
      <c r="A324" s="47" t="s">
        <v>192</v>
      </c>
      <c r="B324" s="47" t="s">
        <v>1595</v>
      </c>
    </row>
    <row r="325" spans="1:2">
      <c r="A325" s="48" t="s">
        <v>192</v>
      </c>
      <c r="B325" s="47" t="s">
        <v>1595</v>
      </c>
    </row>
    <row r="326" spans="1:2">
      <c r="A326" s="47" t="s">
        <v>192</v>
      </c>
      <c r="B326" s="47" t="s">
        <v>1595</v>
      </c>
    </row>
    <row r="327" spans="1:2">
      <c r="A327" s="48" t="s">
        <v>15</v>
      </c>
      <c r="B327" s="47" t="s">
        <v>1595</v>
      </c>
    </row>
    <row r="328" spans="1:2">
      <c r="A328" s="47" t="s">
        <v>15</v>
      </c>
      <c r="B328" s="47" t="s">
        <v>1596</v>
      </c>
    </row>
    <row r="329" spans="1:2">
      <c r="A329" s="48" t="s">
        <v>15</v>
      </c>
      <c r="B329" s="47" t="s">
        <v>1596</v>
      </c>
    </row>
    <row r="330" spans="1:2">
      <c r="A330" s="47" t="s">
        <v>15</v>
      </c>
      <c r="B330" s="47" t="s">
        <v>1596</v>
      </c>
    </row>
    <row r="331" spans="1:2">
      <c r="A331" s="48" t="s">
        <v>15</v>
      </c>
      <c r="B331" s="47" t="s">
        <v>1596</v>
      </c>
    </row>
    <row r="332" spans="1:2">
      <c r="A332" s="47" t="s">
        <v>70</v>
      </c>
      <c r="B332" s="47" t="s">
        <v>1596</v>
      </c>
    </row>
    <row r="333" spans="1:2">
      <c r="A333" s="48" t="s">
        <v>271</v>
      </c>
      <c r="B333" s="47" t="s">
        <v>1596</v>
      </c>
    </row>
    <row r="334" spans="1:2">
      <c r="A334" s="47" t="s">
        <v>15</v>
      </c>
      <c r="B334" s="47" t="s">
        <v>1596</v>
      </c>
    </row>
    <row r="335" spans="1:2">
      <c r="A335" s="48" t="s">
        <v>1109</v>
      </c>
      <c r="B335" s="47" t="s">
        <v>1596</v>
      </c>
    </row>
    <row r="336" spans="1:2">
      <c r="A336" s="47" t="s">
        <v>15</v>
      </c>
      <c r="B336" s="47" t="s">
        <v>1596</v>
      </c>
    </row>
    <row r="337" spans="1:2">
      <c r="A337" s="48" t="s">
        <v>15</v>
      </c>
      <c r="B337" s="47" t="s">
        <v>1596</v>
      </c>
    </row>
    <row r="338" spans="1:2">
      <c r="A338" s="47" t="s">
        <v>271</v>
      </c>
      <c r="B338" s="47" t="s">
        <v>1596</v>
      </c>
    </row>
    <row r="339" spans="1:2">
      <c r="A339" s="48" t="s">
        <v>271</v>
      </c>
      <c r="B339" s="47" t="s">
        <v>1596</v>
      </c>
    </row>
    <row r="340" spans="1:2">
      <c r="A340" s="47" t="s">
        <v>15</v>
      </c>
      <c r="B340" s="47" t="s">
        <v>1596</v>
      </c>
    </row>
    <row r="341" spans="1:2">
      <c r="A341" s="48" t="s">
        <v>70</v>
      </c>
      <c r="B341" s="47" t="s">
        <v>1596</v>
      </c>
    </row>
    <row r="342" spans="1:2">
      <c r="A342" s="47" t="s">
        <v>15</v>
      </c>
      <c r="B342" s="47" t="s">
        <v>1596</v>
      </c>
    </row>
    <row r="343" spans="1:2">
      <c r="A343" s="48" t="s">
        <v>271</v>
      </c>
      <c r="B343" s="48" t="s">
        <v>1597</v>
      </c>
    </row>
    <row r="344" spans="1:2">
      <c r="A344" s="47" t="s">
        <v>70</v>
      </c>
      <c r="B344" s="48" t="s">
        <v>1597</v>
      </c>
    </row>
    <row r="345" spans="1:2">
      <c r="A345" s="48" t="s">
        <v>15</v>
      </c>
      <c r="B345" s="48" t="s">
        <v>1597</v>
      </c>
    </row>
    <row r="346" spans="1:2">
      <c r="A346" s="47" t="s">
        <v>15</v>
      </c>
      <c r="B346" s="48" t="s">
        <v>1597</v>
      </c>
    </row>
    <row r="347" spans="1:2">
      <c r="A347" s="48" t="s">
        <v>15</v>
      </c>
      <c r="B347" s="48" t="s">
        <v>1597</v>
      </c>
    </row>
    <row r="348" spans="1:2">
      <c r="A348" s="47" t="s">
        <v>15</v>
      </c>
      <c r="B348" s="48" t="s">
        <v>1597</v>
      </c>
    </row>
    <row r="349" spans="1:2">
      <c r="A349" s="48" t="s">
        <v>271</v>
      </c>
      <c r="B349" s="48" t="s">
        <v>1597</v>
      </c>
    </row>
    <row r="350" spans="1:2">
      <c r="A350" s="47" t="s">
        <v>15</v>
      </c>
      <c r="B350" s="48" t="s">
        <v>1597</v>
      </c>
    </row>
    <row r="351" spans="1:2">
      <c r="A351" s="48" t="s">
        <v>15</v>
      </c>
      <c r="B351" s="48" t="s">
        <v>1597</v>
      </c>
    </row>
    <row r="352" spans="1:2">
      <c r="A352" s="47" t="s">
        <v>52</v>
      </c>
      <c r="B352" s="48" t="s">
        <v>1597</v>
      </c>
    </row>
    <row r="353" spans="1:2">
      <c r="A353" s="48" t="s">
        <v>15</v>
      </c>
      <c r="B353" s="48" t="s">
        <v>1597</v>
      </c>
    </row>
    <row r="354" spans="1:2">
      <c r="A354" s="47" t="s">
        <v>63</v>
      </c>
      <c r="B354" s="48" t="s">
        <v>1597</v>
      </c>
    </row>
    <row r="355" spans="1:2">
      <c r="A355" s="48" t="s">
        <v>271</v>
      </c>
      <c r="B355" s="48" t="s">
        <v>1597</v>
      </c>
    </row>
    <row r="356" spans="1:2">
      <c r="A356" s="47" t="s">
        <v>15</v>
      </c>
      <c r="B356" s="48" t="s">
        <v>1597</v>
      </c>
    </row>
    <row r="357" spans="1:2">
      <c r="A357" s="48" t="s">
        <v>271</v>
      </c>
      <c r="B357" s="48" t="s">
        <v>1597</v>
      </c>
    </row>
    <row r="358" spans="1:2">
      <c r="A358" s="47" t="s">
        <v>15</v>
      </c>
      <c r="B358" s="48" t="s">
        <v>1597</v>
      </c>
    </row>
    <row r="359" spans="1:2">
      <c r="A359" s="48" t="s">
        <v>52</v>
      </c>
      <c r="B359" s="48" t="s">
        <v>1597</v>
      </c>
    </row>
    <row r="360" spans="1:2">
      <c r="A360" s="47" t="s">
        <v>63</v>
      </c>
      <c r="B360" s="48" t="s">
        <v>1597</v>
      </c>
    </row>
    <row r="361" spans="1:2">
      <c r="A361" s="48" t="s">
        <v>63</v>
      </c>
      <c r="B361" s="48" t="s">
        <v>1597</v>
      </c>
    </row>
    <row r="362" spans="1:2">
      <c r="A362" s="47" t="s">
        <v>70</v>
      </c>
      <c r="B362" s="48" t="s">
        <v>1597</v>
      </c>
    </row>
    <row r="363" spans="1:2">
      <c r="A363" s="49" t="s">
        <v>15</v>
      </c>
      <c r="B363" s="48" t="s">
        <v>1597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Views>
    <sheetView workbookViewId="0"/>
  </sheetViews>
  <sheetFormatPr defaultColWidth="12.5703125" defaultRowHeight="15.75" customHeight="1"/>
  <sheetData>
    <row r="1" spans="1:2">
      <c r="A1" s="42" t="s">
        <v>1535</v>
      </c>
      <c r="B1" s="42" t="s">
        <v>1536</v>
      </c>
    </row>
    <row r="2" spans="1:2">
      <c r="A2" s="29" t="s">
        <v>1537</v>
      </c>
      <c r="B2" s="29" t="s">
        <v>1538</v>
      </c>
    </row>
    <row r="3" spans="1:2">
      <c r="A3" s="29" t="s">
        <v>1539</v>
      </c>
      <c r="B3" s="29" t="s">
        <v>1540</v>
      </c>
    </row>
    <row r="4" spans="1:2">
      <c r="A4" s="29" t="s">
        <v>1541</v>
      </c>
      <c r="B4" s="29" t="s">
        <v>1542</v>
      </c>
    </row>
    <row r="5" spans="1:2">
      <c r="A5" s="29" t="s">
        <v>1543</v>
      </c>
      <c r="B5" s="29" t="s">
        <v>1544</v>
      </c>
    </row>
    <row r="6" spans="1:2">
      <c r="A6" s="29" t="s">
        <v>1545</v>
      </c>
      <c r="B6" s="29" t="s">
        <v>1540</v>
      </c>
    </row>
    <row r="7" spans="1:2">
      <c r="A7" s="29" t="s">
        <v>1546</v>
      </c>
      <c r="B7" s="29" t="s">
        <v>1547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"/>
  <sheetViews>
    <sheetView workbookViewId="0"/>
  </sheetViews>
  <sheetFormatPr defaultColWidth="12.5703125" defaultRowHeight="15.75" customHeight="1"/>
  <sheetData>
    <row r="1" spans="1:29">
      <c r="A1" s="29" t="s">
        <v>1548</v>
      </c>
      <c r="B1" s="29" t="s">
        <v>1549</v>
      </c>
      <c r="C1" s="29" t="s">
        <v>1550</v>
      </c>
      <c r="D1" s="29" t="s">
        <v>1551</v>
      </c>
      <c r="E1" s="29" t="s">
        <v>1552</v>
      </c>
      <c r="F1" s="29" t="s">
        <v>1553</v>
      </c>
      <c r="G1" s="29" t="s">
        <v>1554</v>
      </c>
      <c r="H1" s="29" t="s">
        <v>1555</v>
      </c>
      <c r="I1" s="29" t="s">
        <v>1556</v>
      </c>
      <c r="J1" s="29" t="s">
        <v>1557</v>
      </c>
      <c r="K1" s="29" t="s">
        <v>1558</v>
      </c>
      <c r="L1" s="29" t="s">
        <v>1559</v>
      </c>
      <c r="M1" s="29" t="s">
        <v>1560</v>
      </c>
      <c r="N1" s="29" t="s">
        <v>1561</v>
      </c>
      <c r="O1" s="29" t="s">
        <v>1562</v>
      </c>
      <c r="P1" s="29" t="s">
        <v>1563</v>
      </c>
      <c r="Q1" s="29" t="s">
        <v>1564</v>
      </c>
      <c r="R1" s="29" t="s">
        <v>1565</v>
      </c>
      <c r="S1" s="29" t="s">
        <v>1566</v>
      </c>
      <c r="T1" s="29" t="s">
        <v>1567</v>
      </c>
      <c r="U1" s="29" t="s">
        <v>1568</v>
      </c>
      <c r="V1" s="29" t="s">
        <v>1569</v>
      </c>
      <c r="W1" s="29" t="s">
        <v>1570</v>
      </c>
      <c r="X1" s="29" t="s">
        <v>1571</v>
      </c>
      <c r="Y1" s="29" t="s">
        <v>1572</v>
      </c>
      <c r="Z1" s="29" t="s">
        <v>1573</v>
      </c>
      <c r="AA1" s="29" t="s">
        <v>1574</v>
      </c>
      <c r="AB1" s="29" t="s">
        <v>1575</v>
      </c>
      <c r="AC1" s="29" t="s">
        <v>1576</v>
      </c>
    </row>
    <row r="2" spans="1:29">
      <c r="A2" s="29" t="s">
        <v>1577</v>
      </c>
      <c r="B2" s="29" t="s">
        <v>1578</v>
      </c>
      <c r="C2" s="29" t="s">
        <v>1579</v>
      </c>
      <c r="D2" s="43">
        <v>1929054279</v>
      </c>
      <c r="E2" s="43">
        <v>1</v>
      </c>
      <c r="F2" s="43">
        <v>2</v>
      </c>
      <c r="G2" s="29" t="s">
        <v>1580</v>
      </c>
      <c r="H2" s="29" t="s">
        <v>1581</v>
      </c>
      <c r="I2" s="29" t="s">
        <v>1582</v>
      </c>
      <c r="J2" s="29" t="s">
        <v>1583</v>
      </c>
      <c r="K2" s="29" t="s">
        <v>1584</v>
      </c>
      <c r="L2" s="29" t="s">
        <v>1584</v>
      </c>
      <c r="M2" s="29" t="s">
        <v>1585</v>
      </c>
      <c r="O2" s="29" t="s">
        <v>1586</v>
      </c>
      <c r="P2" s="29" t="b">
        <v>0</v>
      </c>
      <c r="R2" s="29" t="b">
        <v>0</v>
      </c>
      <c r="S2" s="29" t="b">
        <v>1</v>
      </c>
      <c r="T2" s="29" t="s">
        <v>1587</v>
      </c>
      <c r="X2" s="29" t="b">
        <v>0</v>
      </c>
      <c r="Y2" s="29" t="s">
        <v>1588</v>
      </c>
      <c r="Z2" s="29" t="s">
        <v>1589</v>
      </c>
      <c r="AA2" s="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MASTER SKHP 2026</vt:lpstr>
      <vt:lpstr>Analisis</vt:lpstr>
      <vt:lpstr>NVScriptsProperties</vt:lpstr>
      <vt:lpstr>DO NOT DELETE - AutoCrat Job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2026-07-21T10:52:52Z</dcterms:created>
  <dcterms:modified xsi:type="dcterms:W3CDTF">2026-07-21T10:52:52Z</dcterms:modified>
</cp:coreProperties>
</file>